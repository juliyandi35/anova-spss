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Kerjaan\Project P29120724 (ANOVA SPSS)\"/>
    </mc:Choice>
  </mc:AlternateContent>
  <xr:revisionPtr revIDLastSave="0" documentId="13_ncr:1_{041602FC-EDBF-4787-9290-E85F39E7FFC9}" xr6:coauthVersionLast="47" xr6:coauthVersionMax="47" xr10:uidLastSave="{00000000-0000-0000-0000-000000000000}"/>
  <bookViews>
    <workbookView xWindow="-90" yWindow="0" windowWidth="9780" windowHeight="10170" firstSheet="1" activeTab="1" xr2:uid="{00000000-000D-0000-FFFF-FFFF00000000}"/>
  </bookViews>
  <sheets>
    <sheet name="HASIL PRE-TEST" sheetId="1" r:id="rId1"/>
    <sheet name="HASIL POST-TEST" sheetId="4" r:id="rId2"/>
    <sheet name="MOTIVASI BELAJA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8" i="4" l="1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W28" i="3"/>
  <c r="K28" i="3"/>
  <c r="W27" i="3"/>
  <c r="K27" i="3"/>
  <c r="W26" i="3"/>
  <c r="K26" i="3"/>
  <c r="W25" i="3"/>
  <c r="K25" i="3"/>
  <c r="W24" i="3"/>
  <c r="K24" i="3"/>
  <c r="W23" i="3"/>
  <c r="K23" i="3"/>
  <c r="W22" i="3"/>
  <c r="K22" i="3"/>
  <c r="W21" i="3"/>
  <c r="K21" i="3"/>
  <c r="W20" i="3"/>
  <c r="K20" i="3"/>
  <c r="W19" i="3"/>
  <c r="K19" i="3"/>
  <c r="W18" i="3"/>
  <c r="K18" i="3"/>
  <c r="W17" i="3"/>
  <c r="K17" i="3"/>
  <c r="W16" i="3"/>
  <c r="K16" i="3"/>
  <c r="W15" i="3"/>
  <c r="K15" i="3"/>
  <c r="W14" i="3"/>
  <c r="K14" i="3"/>
  <c r="W13" i="3"/>
  <c r="K13" i="3"/>
  <c r="W12" i="3"/>
  <c r="K12" i="3"/>
  <c r="W11" i="3"/>
  <c r="K11" i="3"/>
  <c r="W10" i="3"/>
  <c r="K10" i="3"/>
  <c r="W9" i="3"/>
  <c r="K9" i="3"/>
  <c r="W8" i="3"/>
  <c r="K8" i="3"/>
  <c r="W7" i="3"/>
  <c r="K7" i="3"/>
  <c r="W6" i="3"/>
  <c r="K6" i="3"/>
  <c r="W5" i="3"/>
  <c r="K5" i="3"/>
</calcChain>
</file>

<file path=xl/sharedStrings.xml><?xml version="1.0" encoding="utf-8"?>
<sst xmlns="http://schemas.openxmlformats.org/spreadsheetml/2006/main" count="194" uniqueCount="66">
  <si>
    <t>Responden</t>
  </si>
  <si>
    <t>Butir Pernyataan</t>
  </si>
  <si>
    <t>Item 3</t>
  </si>
  <si>
    <t>Item 4</t>
  </si>
  <si>
    <t>Item 5</t>
  </si>
  <si>
    <t>Item 6</t>
  </si>
  <si>
    <t>Item 7</t>
  </si>
  <si>
    <t>Item 8</t>
  </si>
  <si>
    <t>Item 9</t>
  </si>
  <si>
    <t>Item 11</t>
  </si>
  <si>
    <t>No.</t>
  </si>
  <si>
    <t>AZKIA RAMADHANI</t>
  </si>
  <si>
    <t>FATMA AULIA RAHMA</t>
  </si>
  <si>
    <t>INTAN KURNIASARI</t>
  </si>
  <si>
    <t>IZELA AULIA SAKINAH</t>
  </si>
  <si>
    <t>KADITA ABADIYAH</t>
  </si>
  <si>
    <t>KHAIRA PUTRI HERVIA</t>
  </si>
  <si>
    <t>KHAYLA AZKA MAHARANY</t>
  </si>
  <si>
    <t>LUBNA SHAHIRA</t>
  </si>
  <si>
    <t>LUNA KIBBANI ABDILLAH</t>
  </si>
  <si>
    <t>MAHIRA WAFIRAH WINARNO</t>
  </si>
  <si>
    <t>MAZAYA NAYRA ICHSAN NASUTION</t>
  </si>
  <si>
    <t>NAILA KHAIRUNNISA</t>
  </si>
  <si>
    <t>NAYLA MEISYA PUTRI</t>
  </si>
  <si>
    <t>RAYSA RAHMI PUTRI</t>
  </si>
  <si>
    <t>RIZQINA BILQIS IVANKA</t>
  </si>
  <si>
    <t>SARAH SA'DULLOH</t>
  </si>
  <si>
    <t>SEVINC KAMILA AZIZAH</t>
  </si>
  <si>
    <t>SRI DEVI FITRIANI</t>
  </si>
  <si>
    <t>AISHWA SHAZIA FATHIMA</t>
  </si>
  <si>
    <t>AMELIA NURKHOLIFA</t>
  </si>
  <si>
    <t>ASIH KANIA SUNDARI PRANARHADI</t>
  </si>
  <si>
    <t>AZHARA SALSABIL</t>
  </si>
  <si>
    <t>BILQIS HAINA AZ ZUKHRUFI</t>
  </si>
  <si>
    <t>FIRA SHAFITRI</t>
  </si>
  <si>
    <t>Data Motivasi Kelas Eksperimen</t>
  </si>
  <si>
    <t>Data Motivasi Kelas Kontrol</t>
  </si>
  <si>
    <t>Total</t>
  </si>
  <si>
    <t>ALIYA LATIFA A</t>
  </si>
  <si>
    <t>ANDINI MAULIDA ZAHRA</t>
  </si>
  <si>
    <t>ANGELICA CHRISTY SITORUS GABRIELL</t>
  </si>
  <si>
    <t>ASMIRANDA ARIPIN</t>
  </si>
  <si>
    <t>AYESA KINARA</t>
  </si>
  <si>
    <t>CITRA AMANDA</t>
  </si>
  <si>
    <t>DINDA HANNA KHAIRUNNISA</t>
  </si>
  <si>
    <t>FANNESA TRINOVRIN AGRISA MUKTI</t>
  </si>
  <si>
    <t>FATHYA RAHMI KHOIRUNNISA</t>
  </si>
  <si>
    <t>FRYSHEELA EDDELWEIS A</t>
  </si>
  <si>
    <t>HAIFA HANA MUSHARRIFA</t>
  </si>
  <si>
    <t>ILMA RIZKY AULIA</t>
  </si>
  <si>
    <t>KAYLA VENUS ZANETTA</t>
  </si>
  <si>
    <t>MELISA SARI</t>
  </si>
  <si>
    <t>MUTHYA DWI KAMILAH</t>
  </si>
  <si>
    <t>NAILAH PUTRI ROBIYAH</t>
  </si>
  <si>
    <t>NAJLA RAISYA NURAQILA</t>
  </si>
  <si>
    <t>NAJWA LAILA JEVANY</t>
  </si>
  <si>
    <t>NISRINA ARRIBAH</t>
  </si>
  <si>
    <t>NURUL FITRI AZIZAH</t>
  </si>
  <si>
    <t>RAISSA NAFISA KARNA</t>
  </si>
  <si>
    <t>SATRIN DUARIDELA LAPONSE</t>
  </si>
  <si>
    <t>SEVILLA NAGITA P</t>
  </si>
  <si>
    <t xml:space="preserve">Kharisha Neifa Putri </t>
  </si>
  <si>
    <t>Data Hasil Belajar Kelas Eksperimen</t>
  </si>
  <si>
    <t>Data Hasil Belajar Kelas Kontrol</t>
  </si>
  <si>
    <t>Butir Pertanyaan</t>
  </si>
  <si>
    <t>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</si>
</sst>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8"/>
  <sheetViews>
    <sheetView topLeftCell="P1" workbookViewId="0">
      <selection activeCell="W6" sqref="W6"/>
    </sheetView>
  </sheetViews>
  <sheetFormatPr defaultRowHeight="14.5" x14ac:dyDescent="0.35"/>
  <cols>
    <col min="2" max="2" width="39" customWidth="1"/>
    <col min="12" max="12" width="15.7265625" customWidth="1"/>
    <col min="14" max="14" width="47" customWidth="1"/>
  </cols>
  <sheetData>
    <row r="1" spans="1:23" ht="17.5" x14ac:dyDescent="0.35">
      <c r="A1" s="22" t="s">
        <v>62</v>
      </c>
      <c r="B1" s="22"/>
      <c r="M1" s="22" t="s">
        <v>63</v>
      </c>
      <c r="N1" s="22"/>
      <c r="O1" s="22"/>
      <c r="P1" s="22"/>
      <c r="Q1" s="22"/>
      <c r="R1" s="22"/>
    </row>
    <row r="3" spans="1:23" ht="15.5" x14ac:dyDescent="0.35">
      <c r="A3" s="23" t="s">
        <v>10</v>
      </c>
      <c r="B3" s="23" t="s">
        <v>0</v>
      </c>
      <c r="C3" s="29" t="s">
        <v>64</v>
      </c>
      <c r="D3" s="30"/>
      <c r="E3" s="30"/>
      <c r="F3" s="30"/>
      <c r="G3" s="30"/>
      <c r="H3" s="30"/>
      <c r="I3" s="31"/>
      <c r="J3" s="32" t="s">
        <v>37</v>
      </c>
      <c r="K3" s="27" t="s">
        <v>65</v>
      </c>
      <c r="M3" s="25" t="s">
        <v>10</v>
      </c>
      <c r="N3" s="25" t="s">
        <v>0</v>
      </c>
      <c r="O3" s="37" t="s">
        <v>64</v>
      </c>
      <c r="P3" s="38"/>
      <c r="Q3" s="38"/>
      <c r="R3" s="38"/>
      <c r="S3" s="38"/>
      <c r="T3" s="38"/>
      <c r="U3" s="36"/>
      <c r="V3" s="21" t="s">
        <v>37</v>
      </c>
      <c r="W3" s="21" t="s">
        <v>65</v>
      </c>
    </row>
    <row r="4" spans="1:23" ht="15.5" x14ac:dyDescent="0.35">
      <c r="A4" s="23"/>
      <c r="B4" s="34"/>
      <c r="C4" s="13">
        <v>3</v>
      </c>
      <c r="D4" s="13">
        <v>5</v>
      </c>
      <c r="E4" s="13">
        <v>8</v>
      </c>
      <c r="F4" s="13">
        <v>9</v>
      </c>
      <c r="G4" s="13">
        <v>12</v>
      </c>
      <c r="H4" s="13">
        <v>13</v>
      </c>
      <c r="I4" s="13">
        <v>14</v>
      </c>
      <c r="J4" s="33"/>
      <c r="K4" s="28"/>
      <c r="M4" s="26"/>
      <c r="N4" s="35"/>
      <c r="O4" s="15">
        <v>3</v>
      </c>
      <c r="P4" s="15">
        <v>5</v>
      </c>
      <c r="Q4" s="15">
        <v>8</v>
      </c>
      <c r="R4" s="15">
        <v>9</v>
      </c>
      <c r="S4" s="15">
        <v>12</v>
      </c>
      <c r="T4" s="15">
        <v>13</v>
      </c>
      <c r="U4" s="15">
        <v>14</v>
      </c>
      <c r="V4" s="36"/>
      <c r="W4" s="25"/>
    </row>
    <row r="5" spans="1:23" ht="15.5" x14ac:dyDescent="0.35">
      <c r="A5" s="2">
        <v>1</v>
      </c>
      <c r="B5" s="11" t="s">
        <v>11</v>
      </c>
      <c r="C5" s="12">
        <v>0</v>
      </c>
      <c r="D5" s="12">
        <v>0</v>
      </c>
      <c r="E5" s="12">
        <v>0</v>
      </c>
      <c r="F5" s="12">
        <v>1</v>
      </c>
      <c r="G5" s="12">
        <v>1</v>
      </c>
      <c r="H5" s="12">
        <v>1</v>
      </c>
      <c r="I5" s="12">
        <v>1</v>
      </c>
      <c r="J5" s="19">
        <v>4</v>
      </c>
      <c r="K5" s="20">
        <v>57.2</v>
      </c>
      <c r="M5" s="2">
        <v>1</v>
      </c>
      <c r="N5" s="16" t="s">
        <v>38</v>
      </c>
      <c r="O5" s="17">
        <v>1</v>
      </c>
      <c r="P5" s="17">
        <v>0</v>
      </c>
      <c r="Q5" s="17">
        <v>1</v>
      </c>
      <c r="R5" s="17">
        <v>1</v>
      </c>
      <c r="S5" s="17">
        <v>1</v>
      </c>
      <c r="T5" s="17">
        <v>0</v>
      </c>
      <c r="U5" s="17">
        <v>1</v>
      </c>
      <c r="V5" s="14">
        <v>5</v>
      </c>
      <c r="W5" s="14">
        <v>71.5</v>
      </c>
    </row>
    <row r="6" spans="1:23" ht="15.5" x14ac:dyDescent="0.35">
      <c r="A6" s="2">
        <v>2</v>
      </c>
      <c r="B6" s="11" t="s">
        <v>12</v>
      </c>
      <c r="C6" s="12">
        <v>1</v>
      </c>
      <c r="D6" s="12">
        <v>0</v>
      </c>
      <c r="E6" s="12">
        <v>1</v>
      </c>
      <c r="F6" s="12">
        <v>1</v>
      </c>
      <c r="G6" s="12">
        <v>0</v>
      </c>
      <c r="H6" s="12">
        <v>0</v>
      </c>
      <c r="I6" s="12">
        <v>1</v>
      </c>
      <c r="J6" s="19">
        <v>4</v>
      </c>
      <c r="K6" s="20">
        <v>57.2</v>
      </c>
      <c r="M6" s="2">
        <v>2</v>
      </c>
      <c r="N6" s="16" t="s">
        <v>39</v>
      </c>
      <c r="O6" s="17">
        <v>1</v>
      </c>
      <c r="P6" s="17">
        <v>1</v>
      </c>
      <c r="Q6" s="17">
        <v>1</v>
      </c>
      <c r="R6" s="17">
        <v>1</v>
      </c>
      <c r="S6" s="17">
        <v>1</v>
      </c>
      <c r="T6" s="17">
        <v>1</v>
      </c>
      <c r="U6" s="17">
        <v>1</v>
      </c>
      <c r="V6" s="14">
        <v>7</v>
      </c>
      <c r="W6" s="14">
        <v>100.1</v>
      </c>
    </row>
    <row r="7" spans="1:23" ht="15.5" x14ac:dyDescent="0.35">
      <c r="A7" s="2">
        <v>3</v>
      </c>
      <c r="B7" s="11" t="s">
        <v>13</v>
      </c>
      <c r="C7" s="12">
        <v>1</v>
      </c>
      <c r="D7" s="12">
        <v>1</v>
      </c>
      <c r="E7" s="12">
        <v>0</v>
      </c>
      <c r="F7" s="12">
        <v>1</v>
      </c>
      <c r="G7" s="12">
        <v>0</v>
      </c>
      <c r="H7" s="12">
        <v>0</v>
      </c>
      <c r="I7" s="12">
        <v>1</v>
      </c>
      <c r="J7" s="19">
        <v>4</v>
      </c>
      <c r="K7" s="20">
        <v>57.2</v>
      </c>
      <c r="M7" s="2">
        <v>3</v>
      </c>
      <c r="N7" s="16" t="s">
        <v>40</v>
      </c>
      <c r="O7" s="17">
        <v>0</v>
      </c>
      <c r="P7" s="17">
        <v>1</v>
      </c>
      <c r="Q7" s="17">
        <v>0</v>
      </c>
      <c r="R7" s="17">
        <v>1</v>
      </c>
      <c r="S7" s="17">
        <v>1</v>
      </c>
      <c r="T7" s="17">
        <v>1</v>
      </c>
      <c r="U7" s="17">
        <v>1</v>
      </c>
      <c r="V7" s="14">
        <v>5</v>
      </c>
      <c r="W7" s="14">
        <v>71.5</v>
      </c>
    </row>
    <row r="8" spans="1:23" ht="15.5" x14ac:dyDescent="0.35">
      <c r="A8" s="2">
        <v>4</v>
      </c>
      <c r="B8" s="11" t="s">
        <v>14</v>
      </c>
      <c r="C8" s="12">
        <v>1</v>
      </c>
      <c r="D8" s="12">
        <v>1</v>
      </c>
      <c r="E8" s="12">
        <v>0</v>
      </c>
      <c r="F8" s="12">
        <v>1</v>
      </c>
      <c r="G8" s="12">
        <v>0</v>
      </c>
      <c r="H8" s="12">
        <v>0</v>
      </c>
      <c r="I8" s="12">
        <v>1</v>
      </c>
      <c r="J8" s="19">
        <v>4</v>
      </c>
      <c r="K8" s="20">
        <v>57.2</v>
      </c>
      <c r="M8" s="2">
        <v>4</v>
      </c>
      <c r="N8" s="16" t="s">
        <v>41</v>
      </c>
      <c r="O8" s="17">
        <v>0</v>
      </c>
      <c r="P8" s="17">
        <v>0</v>
      </c>
      <c r="Q8" s="17">
        <v>1</v>
      </c>
      <c r="R8" s="17">
        <v>1</v>
      </c>
      <c r="S8" s="17">
        <v>0</v>
      </c>
      <c r="T8" s="17">
        <v>0</v>
      </c>
      <c r="U8" s="17">
        <v>1</v>
      </c>
      <c r="V8" s="14">
        <v>3</v>
      </c>
      <c r="W8" s="14">
        <v>42.9</v>
      </c>
    </row>
    <row r="9" spans="1:23" ht="15.5" x14ac:dyDescent="0.35">
      <c r="A9" s="2">
        <v>5</v>
      </c>
      <c r="B9" s="11" t="s">
        <v>15</v>
      </c>
      <c r="C9" s="12">
        <v>1</v>
      </c>
      <c r="D9" s="12">
        <v>1</v>
      </c>
      <c r="E9" s="12">
        <v>0</v>
      </c>
      <c r="F9" s="12">
        <v>1</v>
      </c>
      <c r="G9" s="12">
        <v>1</v>
      </c>
      <c r="H9" s="12">
        <v>1</v>
      </c>
      <c r="I9" s="12">
        <v>1</v>
      </c>
      <c r="J9" s="19">
        <v>6</v>
      </c>
      <c r="K9" s="20">
        <v>85.8</v>
      </c>
      <c r="M9" s="2">
        <v>5</v>
      </c>
      <c r="N9" s="16" t="s">
        <v>42</v>
      </c>
      <c r="O9" s="17">
        <v>0</v>
      </c>
      <c r="P9" s="17">
        <v>0</v>
      </c>
      <c r="Q9" s="17">
        <v>1</v>
      </c>
      <c r="R9" s="17">
        <v>1</v>
      </c>
      <c r="S9" s="17">
        <v>0</v>
      </c>
      <c r="T9" s="17">
        <v>0</v>
      </c>
      <c r="U9" s="17">
        <v>1</v>
      </c>
      <c r="V9" s="14">
        <v>3</v>
      </c>
      <c r="W9" s="14">
        <v>42.9</v>
      </c>
    </row>
    <row r="10" spans="1:23" ht="15.5" x14ac:dyDescent="0.35">
      <c r="A10" s="2">
        <v>6</v>
      </c>
      <c r="B10" s="11" t="s">
        <v>16</v>
      </c>
      <c r="C10" s="12">
        <v>1</v>
      </c>
      <c r="D10" s="12">
        <v>1</v>
      </c>
      <c r="E10" s="12">
        <v>0</v>
      </c>
      <c r="F10" s="12">
        <v>1</v>
      </c>
      <c r="G10" s="12">
        <v>1</v>
      </c>
      <c r="H10" s="12">
        <v>1</v>
      </c>
      <c r="I10" s="12">
        <v>1</v>
      </c>
      <c r="J10" s="19">
        <v>6</v>
      </c>
      <c r="K10" s="20">
        <v>85.8</v>
      </c>
      <c r="M10" s="2">
        <v>6</v>
      </c>
      <c r="N10" s="16" t="s">
        <v>43</v>
      </c>
      <c r="O10" s="17">
        <v>1</v>
      </c>
      <c r="P10" s="17">
        <v>0</v>
      </c>
      <c r="Q10" s="17">
        <v>1</v>
      </c>
      <c r="R10" s="17">
        <v>1</v>
      </c>
      <c r="S10" s="17">
        <v>1</v>
      </c>
      <c r="T10" s="17">
        <v>1</v>
      </c>
      <c r="U10" s="17">
        <v>1</v>
      </c>
      <c r="V10" s="14">
        <v>6</v>
      </c>
      <c r="W10" s="14">
        <v>85.8</v>
      </c>
    </row>
    <row r="11" spans="1:23" ht="15.5" x14ac:dyDescent="0.35">
      <c r="A11" s="2">
        <v>7</v>
      </c>
      <c r="B11" s="11" t="s">
        <v>17</v>
      </c>
      <c r="C11" s="12">
        <v>1</v>
      </c>
      <c r="D11" s="12">
        <v>0</v>
      </c>
      <c r="E11" s="12">
        <v>1</v>
      </c>
      <c r="F11" s="12">
        <v>1</v>
      </c>
      <c r="G11" s="12">
        <v>1</v>
      </c>
      <c r="H11" s="12">
        <v>0</v>
      </c>
      <c r="I11" s="12">
        <v>1</v>
      </c>
      <c r="J11" s="19">
        <v>5</v>
      </c>
      <c r="K11" s="20">
        <v>71.5</v>
      </c>
      <c r="M11" s="2">
        <v>7</v>
      </c>
      <c r="N11" s="16" t="s">
        <v>44</v>
      </c>
      <c r="O11" s="17">
        <v>0</v>
      </c>
      <c r="P11" s="17">
        <v>0</v>
      </c>
      <c r="Q11" s="17">
        <v>0</v>
      </c>
      <c r="R11" s="17">
        <v>1</v>
      </c>
      <c r="S11" s="17">
        <v>0</v>
      </c>
      <c r="T11" s="17">
        <v>1</v>
      </c>
      <c r="U11" s="17">
        <v>1</v>
      </c>
      <c r="V11" s="14">
        <v>3</v>
      </c>
      <c r="W11" s="14">
        <v>42.9</v>
      </c>
    </row>
    <row r="12" spans="1:23" ht="15.5" x14ac:dyDescent="0.35">
      <c r="A12" s="2">
        <v>8</v>
      </c>
      <c r="B12" s="11" t="s">
        <v>18</v>
      </c>
      <c r="C12" s="12">
        <v>0</v>
      </c>
      <c r="D12" s="12">
        <v>0</v>
      </c>
      <c r="E12" s="12">
        <v>0</v>
      </c>
      <c r="F12" s="12">
        <v>1</v>
      </c>
      <c r="G12" s="12">
        <v>0</v>
      </c>
      <c r="H12" s="12">
        <v>0</v>
      </c>
      <c r="I12" s="12">
        <v>0</v>
      </c>
      <c r="J12" s="19">
        <v>1</v>
      </c>
      <c r="K12" s="20">
        <v>14.3</v>
      </c>
      <c r="M12" s="2">
        <v>8</v>
      </c>
      <c r="N12" s="16" t="s">
        <v>45</v>
      </c>
      <c r="O12" s="17">
        <v>1</v>
      </c>
      <c r="P12" s="17">
        <v>1</v>
      </c>
      <c r="Q12" s="17">
        <v>1</v>
      </c>
      <c r="R12" s="17">
        <v>1</v>
      </c>
      <c r="S12" s="17">
        <v>1</v>
      </c>
      <c r="T12" s="17">
        <v>1</v>
      </c>
      <c r="U12" s="17">
        <v>1</v>
      </c>
      <c r="V12" s="14">
        <v>7</v>
      </c>
      <c r="W12" s="14">
        <v>100.1</v>
      </c>
    </row>
    <row r="13" spans="1:23" ht="15.5" x14ac:dyDescent="0.35">
      <c r="A13" s="2">
        <v>9</v>
      </c>
      <c r="B13" s="11" t="s">
        <v>19</v>
      </c>
      <c r="C13" s="12">
        <v>0</v>
      </c>
      <c r="D13" s="12">
        <v>0</v>
      </c>
      <c r="E13" s="12">
        <v>1</v>
      </c>
      <c r="F13" s="12">
        <v>1</v>
      </c>
      <c r="G13" s="12">
        <v>0</v>
      </c>
      <c r="H13" s="12">
        <v>1</v>
      </c>
      <c r="I13" s="12">
        <v>1</v>
      </c>
      <c r="J13" s="19">
        <v>4</v>
      </c>
      <c r="K13" s="20">
        <v>57.2</v>
      </c>
      <c r="M13" s="2">
        <v>9</v>
      </c>
      <c r="N13" s="16" t="s">
        <v>46</v>
      </c>
      <c r="O13" s="17">
        <v>0</v>
      </c>
      <c r="P13" s="17">
        <v>0</v>
      </c>
      <c r="Q13" s="17">
        <v>1</v>
      </c>
      <c r="R13" s="17">
        <v>1</v>
      </c>
      <c r="S13" s="17">
        <v>1</v>
      </c>
      <c r="T13" s="17">
        <v>0</v>
      </c>
      <c r="U13" s="17">
        <v>1</v>
      </c>
      <c r="V13" s="14">
        <v>4</v>
      </c>
      <c r="W13" s="14">
        <v>57.2</v>
      </c>
    </row>
    <row r="14" spans="1:23" ht="15.5" x14ac:dyDescent="0.35">
      <c r="A14" s="2">
        <v>10</v>
      </c>
      <c r="B14" s="11" t="s">
        <v>20</v>
      </c>
      <c r="C14" s="12">
        <v>0</v>
      </c>
      <c r="D14" s="12">
        <v>1</v>
      </c>
      <c r="E14" s="12">
        <v>0</v>
      </c>
      <c r="F14" s="12">
        <v>1</v>
      </c>
      <c r="G14" s="12">
        <v>0</v>
      </c>
      <c r="H14" s="12">
        <v>1</v>
      </c>
      <c r="I14" s="12">
        <v>1</v>
      </c>
      <c r="J14" s="19">
        <v>4</v>
      </c>
      <c r="K14" s="20">
        <v>57.2</v>
      </c>
      <c r="M14" s="2">
        <v>10</v>
      </c>
      <c r="N14" s="16" t="s">
        <v>47</v>
      </c>
      <c r="O14" s="17">
        <v>1</v>
      </c>
      <c r="P14" s="17">
        <v>1</v>
      </c>
      <c r="Q14" s="17">
        <v>1</v>
      </c>
      <c r="R14" s="17">
        <v>1</v>
      </c>
      <c r="S14" s="17">
        <v>1</v>
      </c>
      <c r="T14" s="17">
        <v>0</v>
      </c>
      <c r="U14" s="17">
        <v>1</v>
      </c>
      <c r="V14" s="14">
        <v>6</v>
      </c>
      <c r="W14" s="14">
        <v>85.8</v>
      </c>
    </row>
    <row r="15" spans="1:23" ht="15.5" x14ac:dyDescent="0.35">
      <c r="A15" s="2">
        <v>11</v>
      </c>
      <c r="B15" s="11" t="s">
        <v>21</v>
      </c>
      <c r="C15" s="12">
        <v>0</v>
      </c>
      <c r="D15" s="12">
        <v>0</v>
      </c>
      <c r="E15" s="12">
        <v>1</v>
      </c>
      <c r="F15" s="12">
        <v>1</v>
      </c>
      <c r="G15" s="12">
        <v>0</v>
      </c>
      <c r="H15" s="12">
        <v>1</v>
      </c>
      <c r="I15" s="12">
        <v>1</v>
      </c>
      <c r="J15" s="19">
        <v>4</v>
      </c>
      <c r="K15" s="20">
        <v>57.2</v>
      </c>
      <c r="M15" s="2">
        <v>11</v>
      </c>
      <c r="N15" s="16" t="s">
        <v>48</v>
      </c>
      <c r="O15" s="17">
        <v>0</v>
      </c>
      <c r="P15" s="17">
        <v>0</v>
      </c>
      <c r="Q15" s="17">
        <v>0</v>
      </c>
      <c r="R15" s="17">
        <v>1</v>
      </c>
      <c r="S15" s="17">
        <v>0</v>
      </c>
      <c r="T15" s="17">
        <v>1</v>
      </c>
      <c r="U15" s="17">
        <v>1</v>
      </c>
      <c r="V15" s="14">
        <v>3</v>
      </c>
      <c r="W15" s="14">
        <v>42.9</v>
      </c>
    </row>
    <row r="16" spans="1:23" ht="15.5" x14ac:dyDescent="0.35">
      <c r="A16" s="2">
        <v>12</v>
      </c>
      <c r="B16" s="11" t="s">
        <v>22</v>
      </c>
      <c r="C16" s="12">
        <v>0</v>
      </c>
      <c r="D16" s="12">
        <v>0</v>
      </c>
      <c r="E16" s="12">
        <v>0</v>
      </c>
      <c r="F16" s="12">
        <v>1</v>
      </c>
      <c r="G16" s="12">
        <v>1</v>
      </c>
      <c r="H16" s="12">
        <v>1</v>
      </c>
      <c r="I16" s="12">
        <v>1</v>
      </c>
      <c r="J16" s="19">
        <v>4</v>
      </c>
      <c r="K16" s="20">
        <v>57.2</v>
      </c>
      <c r="M16" s="2">
        <v>12</v>
      </c>
      <c r="N16" s="16" t="s">
        <v>49</v>
      </c>
      <c r="O16" s="17">
        <v>0</v>
      </c>
      <c r="P16" s="17">
        <v>1</v>
      </c>
      <c r="Q16" s="17">
        <v>1</v>
      </c>
      <c r="R16" s="17">
        <v>1</v>
      </c>
      <c r="S16" s="17">
        <v>1</v>
      </c>
      <c r="T16" s="17">
        <v>0</v>
      </c>
      <c r="U16" s="17">
        <v>1</v>
      </c>
      <c r="V16" s="14">
        <v>5</v>
      </c>
      <c r="W16" s="14">
        <v>71.5</v>
      </c>
    </row>
    <row r="17" spans="1:23" ht="15.5" x14ac:dyDescent="0.35">
      <c r="A17" s="2">
        <v>13</v>
      </c>
      <c r="B17" s="11" t="s">
        <v>23</v>
      </c>
      <c r="C17" s="12">
        <v>1</v>
      </c>
      <c r="D17" s="12">
        <v>1</v>
      </c>
      <c r="E17" s="12">
        <v>1</v>
      </c>
      <c r="F17" s="12">
        <v>1</v>
      </c>
      <c r="G17" s="12">
        <v>1</v>
      </c>
      <c r="H17" s="12">
        <v>1</v>
      </c>
      <c r="I17" s="12">
        <v>1</v>
      </c>
      <c r="J17" s="19">
        <v>7</v>
      </c>
      <c r="K17" s="20">
        <v>100.1</v>
      </c>
      <c r="M17" s="2">
        <v>13</v>
      </c>
      <c r="N17" s="16" t="s">
        <v>50</v>
      </c>
      <c r="O17" s="17">
        <v>1</v>
      </c>
      <c r="P17" s="17">
        <v>0</v>
      </c>
      <c r="Q17" s="17">
        <v>1</v>
      </c>
      <c r="R17" s="17">
        <v>1</v>
      </c>
      <c r="S17" s="17">
        <v>1</v>
      </c>
      <c r="T17" s="17">
        <v>0</v>
      </c>
      <c r="U17" s="17">
        <v>1</v>
      </c>
      <c r="V17" s="14">
        <v>5</v>
      </c>
      <c r="W17" s="14">
        <v>71.5</v>
      </c>
    </row>
    <row r="18" spans="1:23" ht="15.5" x14ac:dyDescent="0.35">
      <c r="A18" s="2">
        <v>14</v>
      </c>
      <c r="B18" s="11" t="s">
        <v>24</v>
      </c>
      <c r="C18" s="12">
        <v>1</v>
      </c>
      <c r="D18" s="12">
        <v>1</v>
      </c>
      <c r="E18" s="12">
        <v>1</v>
      </c>
      <c r="F18" s="12">
        <v>1</v>
      </c>
      <c r="G18" s="12">
        <v>1</v>
      </c>
      <c r="H18" s="12">
        <v>1</v>
      </c>
      <c r="I18" s="12">
        <v>1</v>
      </c>
      <c r="J18" s="19">
        <v>7</v>
      </c>
      <c r="K18" s="20">
        <v>100.1</v>
      </c>
      <c r="M18" s="2">
        <v>14</v>
      </c>
      <c r="N18" s="16" t="s">
        <v>51</v>
      </c>
      <c r="O18" s="17">
        <v>0</v>
      </c>
      <c r="P18" s="17">
        <v>0</v>
      </c>
      <c r="Q18" s="17">
        <v>1</v>
      </c>
      <c r="R18" s="17">
        <v>1</v>
      </c>
      <c r="S18" s="17">
        <v>1</v>
      </c>
      <c r="T18" s="17">
        <v>1</v>
      </c>
      <c r="U18" s="17">
        <v>1</v>
      </c>
      <c r="V18" s="14">
        <v>5</v>
      </c>
      <c r="W18" s="14">
        <v>71.5</v>
      </c>
    </row>
    <row r="19" spans="1:23" ht="15.5" x14ac:dyDescent="0.35">
      <c r="A19" s="2">
        <v>15</v>
      </c>
      <c r="B19" s="11" t="s">
        <v>25</v>
      </c>
      <c r="C19" s="12">
        <v>0</v>
      </c>
      <c r="D19" s="12">
        <v>1</v>
      </c>
      <c r="E19" s="12">
        <v>1</v>
      </c>
      <c r="F19" s="12">
        <v>1</v>
      </c>
      <c r="G19" s="12">
        <v>1</v>
      </c>
      <c r="H19" s="12">
        <v>1</v>
      </c>
      <c r="I19" s="12">
        <v>1</v>
      </c>
      <c r="J19" s="19">
        <v>6</v>
      </c>
      <c r="K19" s="20">
        <v>85.8</v>
      </c>
      <c r="M19" s="2">
        <v>15</v>
      </c>
      <c r="N19" s="16" t="s">
        <v>52</v>
      </c>
      <c r="O19" s="17">
        <v>1</v>
      </c>
      <c r="P19" s="17">
        <v>0</v>
      </c>
      <c r="Q19" s="17">
        <v>1</v>
      </c>
      <c r="R19" s="17">
        <v>1</v>
      </c>
      <c r="S19" s="17">
        <v>1</v>
      </c>
      <c r="T19" s="17">
        <v>1</v>
      </c>
      <c r="U19" s="17">
        <v>1</v>
      </c>
      <c r="V19" s="14">
        <v>6</v>
      </c>
      <c r="W19" s="14">
        <v>85.8</v>
      </c>
    </row>
    <row r="20" spans="1:23" ht="15.5" x14ac:dyDescent="0.35">
      <c r="A20" s="2">
        <v>16</v>
      </c>
      <c r="B20" s="11" t="s">
        <v>26</v>
      </c>
      <c r="C20" s="12">
        <v>0</v>
      </c>
      <c r="D20" s="12">
        <v>0</v>
      </c>
      <c r="E20" s="12">
        <v>1</v>
      </c>
      <c r="F20" s="12">
        <v>1</v>
      </c>
      <c r="G20" s="12">
        <v>0</v>
      </c>
      <c r="H20" s="12">
        <v>1</v>
      </c>
      <c r="I20" s="12">
        <v>1</v>
      </c>
      <c r="J20" s="19">
        <v>4</v>
      </c>
      <c r="K20" s="20">
        <v>57.2</v>
      </c>
      <c r="M20" s="2">
        <v>16</v>
      </c>
      <c r="N20" s="16" t="s">
        <v>53</v>
      </c>
      <c r="O20" s="17">
        <v>0</v>
      </c>
      <c r="P20" s="17">
        <v>0</v>
      </c>
      <c r="Q20" s="17">
        <v>1</v>
      </c>
      <c r="R20" s="17">
        <v>1</v>
      </c>
      <c r="S20" s="17">
        <v>0</v>
      </c>
      <c r="T20" s="17">
        <v>1</v>
      </c>
      <c r="U20" s="17">
        <v>1</v>
      </c>
      <c r="V20" s="14">
        <v>4</v>
      </c>
      <c r="W20" s="14">
        <v>57.2</v>
      </c>
    </row>
    <row r="21" spans="1:23" ht="15.5" x14ac:dyDescent="0.35">
      <c r="A21" s="2">
        <v>17</v>
      </c>
      <c r="B21" s="11" t="s">
        <v>27</v>
      </c>
      <c r="C21" s="12">
        <v>0</v>
      </c>
      <c r="D21" s="12">
        <v>0</v>
      </c>
      <c r="E21" s="12">
        <v>1</v>
      </c>
      <c r="F21" s="12">
        <v>1</v>
      </c>
      <c r="G21" s="12">
        <v>1</v>
      </c>
      <c r="H21" s="12">
        <v>1</v>
      </c>
      <c r="I21" s="12">
        <v>1</v>
      </c>
      <c r="J21" s="19">
        <v>5</v>
      </c>
      <c r="K21" s="20">
        <v>71.5</v>
      </c>
      <c r="M21" s="2">
        <v>17</v>
      </c>
      <c r="N21" s="16" t="s">
        <v>54</v>
      </c>
      <c r="O21" s="17">
        <v>0</v>
      </c>
      <c r="P21" s="17">
        <v>0</v>
      </c>
      <c r="Q21" s="17">
        <v>1</v>
      </c>
      <c r="R21" s="17">
        <v>1</v>
      </c>
      <c r="S21" s="17">
        <v>1</v>
      </c>
      <c r="T21" s="17">
        <v>1</v>
      </c>
      <c r="U21" s="17">
        <v>1</v>
      </c>
      <c r="V21" s="14">
        <v>5</v>
      </c>
      <c r="W21" s="14">
        <v>71.5</v>
      </c>
    </row>
    <row r="22" spans="1:23" ht="15.5" x14ac:dyDescent="0.35">
      <c r="A22" s="2">
        <v>18</v>
      </c>
      <c r="B22" s="11" t="s">
        <v>28</v>
      </c>
      <c r="C22" s="12">
        <v>0</v>
      </c>
      <c r="D22" s="12">
        <v>0</v>
      </c>
      <c r="E22" s="12">
        <v>1</v>
      </c>
      <c r="F22" s="12">
        <v>1</v>
      </c>
      <c r="G22" s="12">
        <v>0</v>
      </c>
      <c r="H22" s="12">
        <v>1</v>
      </c>
      <c r="I22" s="12">
        <v>1</v>
      </c>
      <c r="J22" s="19">
        <v>4</v>
      </c>
      <c r="K22" s="20">
        <v>57.2</v>
      </c>
      <c r="M22" s="2">
        <v>18</v>
      </c>
      <c r="N22" s="16" t="s">
        <v>55</v>
      </c>
      <c r="O22" s="17">
        <v>1</v>
      </c>
      <c r="P22" s="17">
        <v>1</v>
      </c>
      <c r="Q22" s="17">
        <v>1</v>
      </c>
      <c r="R22" s="17">
        <v>1</v>
      </c>
      <c r="S22" s="17">
        <v>1</v>
      </c>
      <c r="T22" s="17">
        <v>1</v>
      </c>
      <c r="U22" s="17">
        <v>1</v>
      </c>
      <c r="V22" s="14">
        <v>7</v>
      </c>
      <c r="W22" s="14">
        <v>100.1</v>
      </c>
    </row>
    <row r="23" spans="1:23" ht="15.5" x14ac:dyDescent="0.35">
      <c r="A23" s="2">
        <v>19</v>
      </c>
      <c r="B23" s="11" t="s">
        <v>29</v>
      </c>
      <c r="C23" s="12">
        <v>1</v>
      </c>
      <c r="D23" s="12">
        <v>1</v>
      </c>
      <c r="E23" s="12">
        <v>1</v>
      </c>
      <c r="F23" s="12">
        <v>1</v>
      </c>
      <c r="G23" s="12">
        <v>1</v>
      </c>
      <c r="H23" s="12">
        <v>0</v>
      </c>
      <c r="I23" s="12">
        <v>1</v>
      </c>
      <c r="J23" s="19">
        <v>6</v>
      </c>
      <c r="K23" s="20">
        <v>85.8</v>
      </c>
      <c r="M23" s="2">
        <v>19</v>
      </c>
      <c r="N23" s="16" t="s">
        <v>56</v>
      </c>
      <c r="O23" s="17">
        <v>0</v>
      </c>
      <c r="P23" s="17">
        <v>0</v>
      </c>
      <c r="Q23" s="17">
        <v>1</v>
      </c>
      <c r="R23" s="17">
        <v>1</v>
      </c>
      <c r="S23" s="17">
        <v>1</v>
      </c>
      <c r="T23" s="17">
        <v>0</v>
      </c>
      <c r="U23" s="17">
        <v>1</v>
      </c>
      <c r="V23" s="14">
        <v>4</v>
      </c>
      <c r="W23" s="14">
        <v>57.2</v>
      </c>
    </row>
    <row r="24" spans="1:23" ht="15.5" x14ac:dyDescent="0.35">
      <c r="A24" s="2">
        <v>20</v>
      </c>
      <c r="B24" s="11" t="s">
        <v>30</v>
      </c>
      <c r="C24" s="12">
        <v>0</v>
      </c>
      <c r="D24" s="12">
        <v>0</v>
      </c>
      <c r="E24" s="12">
        <v>1</v>
      </c>
      <c r="F24" s="12">
        <v>1</v>
      </c>
      <c r="G24" s="12">
        <v>1</v>
      </c>
      <c r="H24" s="12">
        <v>1</v>
      </c>
      <c r="I24" s="12">
        <v>1</v>
      </c>
      <c r="J24" s="19">
        <v>5</v>
      </c>
      <c r="K24" s="20">
        <v>71.5</v>
      </c>
      <c r="M24" s="2">
        <v>20</v>
      </c>
      <c r="N24" s="16" t="s">
        <v>57</v>
      </c>
      <c r="O24" s="17">
        <v>0</v>
      </c>
      <c r="P24" s="17">
        <v>0</v>
      </c>
      <c r="Q24" s="17">
        <v>1</v>
      </c>
      <c r="R24" s="17">
        <v>1</v>
      </c>
      <c r="S24" s="17">
        <v>1</v>
      </c>
      <c r="T24" s="17">
        <v>1</v>
      </c>
      <c r="U24" s="17">
        <v>1</v>
      </c>
      <c r="V24" s="14">
        <v>5</v>
      </c>
      <c r="W24" s="14">
        <v>71.5</v>
      </c>
    </row>
    <row r="25" spans="1:23" ht="15.5" x14ac:dyDescent="0.35">
      <c r="A25" s="2">
        <v>21</v>
      </c>
      <c r="B25" s="11" t="s">
        <v>31</v>
      </c>
      <c r="C25" s="12">
        <v>0</v>
      </c>
      <c r="D25" s="12">
        <v>0</v>
      </c>
      <c r="E25" s="12">
        <v>1</v>
      </c>
      <c r="F25" s="12">
        <v>1</v>
      </c>
      <c r="G25" s="12">
        <v>1</v>
      </c>
      <c r="H25" s="12">
        <v>0</v>
      </c>
      <c r="I25" s="12">
        <v>1</v>
      </c>
      <c r="J25" s="19">
        <v>4</v>
      </c>
      <c r="K25" s="20">
        <v>57.2</v>
      </c>
      <c r="M25" s="2">
        <v>21</v>
      </c>
      <c r="N25" s="16" t="s">
        <v>58</v>
      </c>
      <c r="O25" s="17">
        <v>0</v>
      </c>
      <c r="P25" s="17">
        <v>0</v>
      </c>
      <c r="Q25" s="17">
        <v>1</v>
      </c>
      <c r="R25" s="17">
        <v>1</v>
      </c>
      <c r="S25" s="17">
        <v>1</v>
      </c>
      <c r="T25" s="17">
        <v>1</v>
      </c>
      <c r="U25" s="17">
        <v>1</v>
      </c>
      <c r="V25" s="14">
        <v>5</v>
      </c>
      <c r="W25" s="14">
        <v>71.5</v>
      </c>
    </row>
    <row r="26" spans="1:23" ht="15.5" x14ac:dyDescent="0.35">
      <c r="A26" s="2">
        <v>22</v>
      </c>
      <c r="B26" s="11" t="s">
        <v>32</v>
      </c>
      <c r="C26" s="12">
        <v>1</v>
      </c>
      <c r="D26" s="12">
        <v>0</v>
      </c>
      <c r="E26" s="12">
        <v>1</v>
      </c>
      <c r="F26" s="12">
        <v>1</v>
      </c>
      <c r="G26" s="12">
        <v>1</v>
      </c>
      <c r="H26" s="12">
        <v>0</v>
      </c>
      <c r="I26" s="12">
        <v>1</v>
      </c>
      <c r="J26" s="19">
        <v>5</v>
      </c>
      <c r="K26" s="20">
        <v>71.5</v>
      </c>
      <c r="M26" s="2">
        <v>22</v>
      </c>
      <c r="N26" s="16" t="s">
        <v>59</v>
      </c>
      <c r="O26" s="17">
        <v>0</v>
      </c>
      <c r="P26" s="17">
        <v>0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4">
        <v>5</v>
      </c>
      <c r="W26" s="14">
        <v>71.5</v>
      </c>
    </row>
    <row r="27" spans="1:23" ht="15.5" x14ac:dyDescent="0.35">
      <c r="A27" s="2">
        <v>23</v>
      </c>
      <c r="B27" s="11" t="s">
        <v>33</v>
      </c>
      <c r="C27" s="12">
        <v>1</v>
      </c>
      <c r="D27" s="12">
        <v>1</v>
      </c>
      <c r="E27" s="12">
        <v>1</v>
      </c>
      <c r="F27" s="12">
        <v>1</v>
      </c>
      <c r="G27" s="12">
        <v>1</v>
      </c>
      <c r="H27" s="12">
        <v>1</v>
      </c>
      <c r="I27" s="12">
        <v>1</v>
      </c>
      <c r="J27" s="19">
        <v>7</v>
      </c>
      <c r="K27" s="20">
        <v>100.1</v>
      </c>
      <c r="M27" s="2">
        <v>23</v>
      </c>
      <c r="N27" s="16" t="s">
        <v>60</v>
      </c>
      <c r="O27" s="17">
        <v>1</v>
      </c>
      <c r="P27" s="17">
        <v>0</v>
      </c>
      <c r="Q27" s="17">
        <v>1</v>
      </c>
      <c r="R27" s="17">
        <v>1</v>
      </c>
      <c r="S27" s="17">
        <v>1</v>
      </c>
      <c r="T27" s="17">
        <v>1</v>
      </c>
      <c r="U27" s="17">
        <v>1</v>
      </c>
      <c r="V27" s="14">
        <v>6</v>
      </c>
      <c r="W27" s="14">
        <v>85.8</v>
      </c>
    </row>
    <row r="28" spans="1:23" ht="15.5" x14ac:dyDescent="0.35">
      <c r="A28" s="2">
        <v>24</v>
      </c>
      <c r="B28" s="11" t="s">
        <v>34</v>
      </c>
      <c r="C28" s="12">
        <v>1</v>
      </c>
      <c r="D28" s="12">
        <v>1</v>
      </c>
      <c r="E28" s="12">
        <v>1</v>
      </c>
      <c r="F28" s="12">
        <v>1</v>
      </c>
      <c r="G28" s="12">
        <v>1</v>
      </c>
      <c r="H28" s="12">
        <v>1</v>
      </c>
      <c r="I28" s="12">
        <v>1</v>
      </c>
      <c r="J28" s="19">
        <v>7</v>
      </c>
      <c r="K28" s="20">
        <v>100.1</v>
      </c>
      <c r="M28" s="2">
        <v>24</v>
      </c>
      <c r="N28" s="16" t="s">
        <v>61</v>
      </c>
      <c r="O28" s="18">
        <v>0</v>
      </c>
      <c r="P28" s="18">
        <v>0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4">
        <v>5</v>
      </c>
      <c r="W28" s="14">
        <v>71.5</v>
      </c>
    </row>
  </sheetData>
  <mergeCells count="12">
    <mergeCell ref="M1:R1"/>
    <mergeCell ref="M3:M4"/>
    <mergeCell ref="N3:N4"/>
    <mergeCell ref="V3:V4"/>
    <mergeCell ref="W3:W4"/>
    <mergeCell ref="O3:U3"/>
    <mergeCell ref="A1:B1"/>
    <mergeCell ref="K3:K4"/>
    <mergeCell ref="C3:I3"/>
    <mergeCell ref="J3:J4"/>
    <mergeCell ref="A3:A4"/>
    <mergeCell ref="B3:B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8"/>
  <sheetViews>
    <sheetView tabSelected="1" topLeftCell="AD1" workbookViewId="0">
      <selection activeCell="AI5" sqref="AI5:AI28"/>
    </sheetView>
  </sheetViews>
  <sheetFormatPr defaultRowHeight="14.5" x14ac:dyDescent="0.35"/>
  <cols>
    <col min="2" max="2" width="39" customWidth="1"/>
    <col min="12" max="12" width="9.7265625" customWidth="1"/>
    <col min="13" max="13" width="9.1796875" customWidth="1"/>
    <col min="14" max="14" width="10.1796875" customWidth="1"/>
    <col min="18" max="18" width="15.7265625" customWidth="1"/>
    <col min="20" max="20" width="47" customWidth="1"/>
  </cols>
  <sheetData>
    <row r="1" spans="1:35" ht="17.5" x14ac:dyDescent="0.35">
      <c r="A1" s="22" t="s">
        <v>62</v>
      </c>
      <c r="B1" s="22"/>
      <c r="N1" s="1"/>
      <c r="S1" s="22" t="s">
        <v>63</v>
      </c>
      <c r="T1" s="22"/>
      <c r="U1" s="22"/>
      <c r="V1" s="22"/>
      <c r="W1" s="22"/>
      <c r="X1" s="22"/>
    </row>
    <row r="3" spans="1:35" ht="15.5" x14ac:dyDescent="0.35">
      <c r="A3" s="23" t="s">
        <v>10</v>
      </c>
      <c r="B3" s="23" t="s">
        <v>0</v>
      </c>
      <c r="C3" s="24" t="s">
        <v>64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3" t="s">
        <v>37</v>
      </c>
      <c r="Q3" s="23" t="s">
        <v>65</v>
      </c>
      <c r="S3" s="25" t="s">
        <v>10</v>
      </c>
      <c r="T3" s="25" t="s">
        <v>0</v>
      </c>
      <c r="U3" s="21" t="s">
        <v>64</v>
      </c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37</v>
      </c>
      <c r="AI3" s="21" t="s">
        <v>65</v>
      </c>
    </row>
    <row r="4" spans="1:35" ht="15.5" x14ac:dyDescent="0.35">
      <c r="A4" s="23"/>
      <c r="B4" s="23"/>
      <c r="C4" s="6">
        <v>1</v>
      </c>
      <c r="D4" s="6">
        <v>2</v>
      </c>
      <c r="E4" s="6">
        <v>3</v>
      </c>
      <c r="F4" s="6">
        <v>6</v>
      </c>
      <c r="G4" s="6">
        <v>8</v>
      </c>
      <c r="H4" s="6">
        <v>9</v>
      </c>
      <c r="I4" s="6">
        <v>10</v>
      </c>
      <c r="J4" s="6">
        <v>11</v>
      </c>
      <c r="K4" s="6">
        <v>12</v>
      </c>
      <c r="L4" s="6">
        <v>13</v>
      </c>
      <c r="M4" s="6">
        <v>14</v>
      </c>
      <c r="N4" s="6">
        <v>16</v>
      </c>
      <c r="O4" s="6">
        <v>25</v>
      </c>
      <c r="P4" s="23"/>
      <c r="Q4" s="23"/>
      <c r="S4" s="26"/>
      <c r="T4" s="26"/>
      <c r="U4" s="4">
        <v>1</v>
      </c>
      <c r="V4" s="4">
        <v>2</v>
      </c>
      <c r="W4" s="4">
        <v>3</v>
      </c>
      <c r="X4" s="4">
        <v>6</v>
      </c>
      <c r="Y4" s="4">
        <v>8</v>
      </c>
      <c r="Z4" s="4">
        <v>9</v>
      </c>
      <c r="AA4" s="4">
        <v>10</v>
      </c>
      <c r="AB4" s="4">
        <v>11</v>
      </c>
      <c r="AC4" s="4">
        <v>12</v>
      </c>
      <c r="AD4" s="4">
        <v>13</v>
      </c>
      <c r="AE4" s="4">
        <v>14</v>
      </c>
      <c r="AF4" s="4">
        <v>16</v>
      </c>
      <c r="AG4" s="4">
        <v>25</v>
      </c>
      <c r="AH4" s="21"/>
      <c r="AI4" s="21"/>
    </row>
    <row r="5" spans="1:35" ht="15.5" x14ac:dyDescent="0.35">
      <c r="A5" s="2">
        <v>1</v>
      </c>
      <c r="B5" s="5" t="s">
        <v>11</v>
      </c>
      <c r="C5" s="2">
        <v>1</v>
      </c>
      <c r="D5" s="2">
        <v>1</v>
      </c>
      <c r="E5" s="2">
        <v>1</v>
      </c>
      <c r="F5" s="2">
        <v>0</v>
      </c>
      <c r="G5" s="2">
        <v>1</v>
      </c>
      <c r="H5" s="2">
        <v>1</v>
      </c>
      <c r="I5" s="2">
        <v>1</v>
      </c>
      <c r="J5" s="2">
        <v>0</v>
      </c>
      <c r="K5" s="2">
        <v>1</v>
      </c>
      <c r="L5" s="2">
        <v>0</v>
      </c>
      <c r="M5" s="2">
        <v>1</v>
      </c>
      <c r="N5" s="2">
        <v>1</v>
      </c>
      <c r="O5" s="2">
        <v>1</v>
      </c>
      <c r="P5" s="2">
        <v>10</v>
      </c>
      <c r="Q5" s="10">
        <f>P5*7.7</f>
        <v>77</v>
      </c>
      <c r="S5" s="2">
        <v>1</v>
      </c>
      <c r="T5" s="3" t="s">
        <v>38</v>
      </c>
      <c r="U5" s="2">
        <v>1</v>
      </c>
      <c r="V5" s="2">
        <v>1</v>
      </c>
      <c r="W5" s="2">
        <v>1</v>
      </c>
      <c r="X5" s="2">
        <v>1</v>
      </c>
      <c r="Y5" s="2">
        <v>0</v>
      </c>
      <c r="Z5" s="2">
        <v>0</v>
      </c>
      <c r="AA5" s="2">
        <v>1</v>
      </c>
      <c r="AB5" s="2">
        <v>1</v>
      </c>
      <c r="AC5" s="2">
        <v>1</v>
      </c>
      <c r="AD5" s="2">
        <v>1</v>
      </c>
      <c r="AE5" s="2">
        <v>1</v>
      </c>
      <c r="AF5" s="2">
        <v>1</v>
      </c>
      <c r="AG5" s="2">
        <v>1</v>
      </c>
      <c r="AH5" s="2">
        <v>11</v>
      </c>
      <c r="AI5" s="10">
        <v>84.7</v>
      </c>
    </row>
    <row r="6" spans="1:35" ht="15.5" x14ac:dyDescent="0.35">
      <c r="A6" s="2">
        <v>2</v>
      </c>
      <c r="B6" s="5" t="s">
        <v>12</v>
      </c>
      <c r="C6" s="2">
        <v>1</v>
      </c>
      <c r="D6" s="2">
        <v>1</v>
      </c>
      <c r="E6" s="2">
        <v>1</v>
      </c>
      <c r="F6" s="2">
        <v>0</v>
      </c>
      <c r="G6" s="2">
        <v>1</v>
      </c>
      <c r="H6" s="2">
        <v>1</v>
      </c>
      <c r="I6" s="2">
        <v>1</v>
      </c>
      <c r="J6" s="2">
        <v>0</v>
      </c>
      <c r="K6" s="2">
        <v>1</v>
      </c>
      <c r="L6" s="2">
        <v>0</v>
      </c>
      <c r="M6" s="2">
        <v>1</v>
      </c>
      <c r="N6" s="2">
        <v>1</v>
      </c>
      <c r="O6" s="2">
        <v>1</v>
      </c>
      <c r="P6" s="2">
        <v>10</v>
      </c>
      <c r="Q6" s="10">
        <f t="shared" ref="Q6:Q28" si="0">P6*7.7</f>
        <v>77</v>
      </c>
      <c r="S6" s="2">
        <v>2</v>
      </c>
      <c r="T6" s="3" t="s">
        <v>39</v>
      </c>
      <c r="U6" s="2">
        <v>0</v>
      </c>
      <c r="V6" s="2">
        <v>1</v>
      </c>
      <c r="W6" s="2">
        <v>0</v>
      </c>
      <c r="X6" s="2">
        <v>1</v>
      </c>
      <c r="Y6" s="2">
        <v>0</v>
      </c>
      <c r="Z6" s="2">
        <v>0</v>
      </c>
      <c r="AA6" s="2">
        <v>0</v>
      </c>
      <c r="AB6" s="2">
        <v>1</v>
      </c>
      <c r="AC6" s="2">
        <v>0</v>
      </c>
      <c r="AD6" s="2">
        <v>0</v>
      </c>
      <c r="AE6" s="2">
        <v>1</v>
      </c>
      <c r="AF6" s="2">
        <v>1</v>
      </c>
      <c r="AG6" s="2">
        <v>1</v>
      </c>
      <c r="AH6" s="2">
        <v>6</v>
      </c>
      <c r="AI6" s="10">
        <v>46.2</v>
      </c>
    </row>
    <row r="7" spans="1:35" ht="15.5" x14ac:dyDescent="0.35">
      <c r="A7" s="2">
        <v>3</v>
      </c>
      <c r="B7" s="5" t="s">
        <v>13</v>
      </c>
      <c r="C7" s="2">
        <v>0</v>
      </c>
      <c r="D7" s="2">
        <v>0</v>
      </c>
      <c r="E7" s="2">
        <v>0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10</v>
      </c>
      <c r="Q7" s="10">
        <f t="shared" si="0"/>
        <v>77</v>
      </c>
      <c r="S7" s="2">
        <v>3</v>
      </c>
      <c r="T7" s="3" t="s">
        <v>40</v>
      </c>
      <c r="U7" s="2">
        <v>0</v>
      </c>
      <c r="V7" s="2">
        <v>1</v>
      </c>
      <c r="W7" s="2">
        <v>0</v>
      </c>
      <c r="X7" s="2">
        <v>1</v>
      </c>
      <c r="Y7" s="2">
        <v>0</v>
      </c>
      <c r="Z7" s="2">
        <v>0</v>
      </c>
      <c r="AA7" s="2">
        <v>0</v>
      </c>
      <c r="AB7" s="2">
        <v>1</v>
      </c>
      <c r="AC7" s="2">
        <v>0</v>
      </c>
      <c r="AD7" s="2">
        <v>0</v>
      </c>
      <c r="AE7" s="2">
        <v>1</v>
      </c>
      <c r="AF7" s="10">
        <v>1</v>
      </c>
      <c r="AG7" s="2">
        <v>1</v>
      </c>
      <c r="AH7" s="2">
        <v>6</v>
      </c>
      <c r="AI7" s="10">
        <v>46.2</v>
      </c>
    </row>
    <row r="8" spans="1:35" ht="15.5" x14ac:dyDescent="0.35">
      <c r="A8" s="2">
        <v>4</v>
      </c>
      <c r="B8" s="5" t="s">
        <v>14</v>
      </c>
      <c r="C8" s="2">
        <v>1</v>
      </c>
      <c r="D8" s="8">
        <v>0</v>
      </c>
      <c r="E8" s="8">
        <v>0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9">
        <v>1</v>
      </c>
      <c r="P8" s="2">
        <v>11</v>
      </c>
      <c r="Q8" s="10">
        <f t="shared" si="0"/>
        <v>84.7</v>
      </c>
      <c r="S8" s="2">
        <v>4</v>
      </c>
      <c r="T8" s="3" t="s">
        <v>41</v>
      </c>
      <c r="U8" s="2">
        <v>0</v>
      </c>
      <c r="V8" s="2">
        <v>1</v>
      </c>
      <c r="W8" s="2">
        <v>0</v>
      </c>
      <c r="X8" s="2">
        <v>1</v>
      </c>
      <c r="Y8" s="2">
        <v>0</v>
      </c>
      <c r="Z8" s="2">
        <v>0</v>
      </c>
      <c r="AA8" s="2">
        <v>1</v>
      </c>
      <c r="AB8" s="2">
        <v>1</v>
      </c>
      <c r="AC8" s="2">
        <v>1</v>
      </c>
      <c r="AD8" s="2">
        <v>1</v>
      </c>
      <c r="AE8" s="2">
        <v>1</v>
      </c>
      <c r="AF8" s="2">
        <v>1</v>
      </c>
      <c r="AG8" s="2">
        <v>1</v>
      </c>
      <c r="AH8" s="2">
        <v>9</v>
      </c>
      <c r="AI8" s="10">
        <v>69.3</v>
      </c>
    </row>
    <row r="9" spans="1:35" ht="15.5" x14ac:dyDescent="0.35">
      <c r="A9" s="2">
        <v>5</v>
      </c>
      <c r="B9" s="5" t="s">
        <v>15</v>
      </c>
      <c r="C9" s="2">
        <v>1</v>
      </c>
      <c r="D9" s="2">
        <v>1</v>
      </c>
      <c r="E9" s="2">
        <v>1</v>
      </c>
      <c r="F9" s="2">
        <v>0</v>
      </c>
      <c r="G9" s="2">
        <v>1</v>
      </c>
      <c r="H9" s="2">
        <v>1</v>
      </c>
      <c r="I9" s="2">
        <v>1</v>
      </c>
      <c r="J9" s="2">
        <v>0</v>
      </c>
      <c r="K9" s="2">
        <v>1</v>
      </c>
      <c r="L9" s="2">
        <v>0</v>
      </c>
      <c r="M9" s="2">
        <v>1</v>
      </c>
      <c r="N9" s="2">
        <v>1</v>
      </c>
      <c r="O9" s="2">
        <v>1</v>
      </c>
      <c r="P9" s="2">
        <v>10</v>
      </c>
      <c r="Q9" s="10">
        <f t="shared" si="0"/>
        <v>77</v>
      </c>
      <c r="S9" s="2">
        <v>5</v>
      </c>
      <c r="T9" s="3" t="s">
        <v>42</v>
      </c>
      <c r="U9" s="2">
        <v>0</v>
      </c>
      <c r="V9" s="2">
        <v>1</v>
      </c>
      <c r="W9" s="2">
        <v>1</v>
      </c>
      <c r="X9" s="2">
        <v>1</v>
      </c>
      <c r="Y9" s="2">
        <v>0</v>
      </c>
      <c r="Z9" s="2">
        <v>0</v>
      </c>
      <c r="AA9" s="2">
        <v>1</v>
      </c>
      <c r="AB9" s="2">
        <v>1</v>
      </c>
      <c r="AC9" s="2">
        <v>1</v>
      </c>
      <c r="AD9" s="2">
        <v>1</v>
      </c>
      <c r="AE9" s="2">
        <v>1</v>
      </c>
      <c r="AF9" s="2">
        <v>1</v>
      </c>
      <c r="AG9" s="2">
        <v>1</v>
      </c>
      <c r="AH9" s="2">
        <v>10</v>
      </c>
      <c r="AI9" s="10">
        <v>77</v>
      </c>
    </row>
    <row r="10" spans="1:35" ht="15.5" x14ac:dyDescent="0.35">
      <c r="A10" s="2">
        <v>6</v>
      </c>
      <c r="B10" s="5" t="s">
        <v>16</v>
      </c>
      <c r="C10" s="2">
        <v>1</v>
      </c>
      <c r="D10" s="8">
        <v>0</v>
      </c>
      <c r="E10" s="8">
        <v>0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11</v>
      </c>
      <c r="Q10" s="10">
        <f t="shared" si="0"/>
        <v>84.7</v>
      </c>
      <c r="S10" s="2">
        <v>6</v>
      </c>
      <c r="T10" s="3" t="s">
        <v>43</v>
      </c>
      <c r="U10" s="2">
        <v>0</v>
      </c>
      <c r="V10" s="2">
        <v>1</v>
      </c>
      <c r="W10" s="2">
        <v>1</v>
      </c>
      <c r="X10" s="2">
        <v>1</v>
      </c>
      <c r="Y10" s="2">
        <v>0</v>
      </c>
      <c r="Z10" s="2">
        <v>0</v>
      </c>
      <c r="AA10" s="2">
        <v>1</v>
      </c>
      <c r="AB10" s="2">
        <v>1</v>
      </c>
      <c r="AC10" s="2">
        <v>1</v>
      </c>
      <c r="AD10" s="2">
        <v>1</v>
      </c>
      <c r="AE10" s="2">
        <v>1</v>
      </c>
      <c r="AF10" s="2">
        <v>1</v>
      </c>
      <c r="AG10" s="2">
        <v>1</v>
      </c>
      <c r="AH10" s="2">
        <v>10</v>
      </c>
      <c r="AI10" s="10">
        <v>77</v>
      </c>
    </row>
    <row r="11" spans="1:35" ht="15.5" x14ac:dyDescent="0.35">
      <c r="A11" s="2">
        <v>7</v>
      </c>
      <c r="B11" s="5" t="s">
        <v>17</v>
      </c>
      <c r="C11" s="2">
        <v>0</v>
      </c>
      <c r="D11" s="2">
        <v>0</v>
      </c>
      <c r="E11" s="2">
        <v>0</v>
      </c>
      <c r="F11" s="2">
        <v>0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9</v>
      </c>
      <c r="Q11" s="10">
        <f t="shared" si="0"/>
        <v>69.3</v>
      </c>
      <c r="S11" s="2">
        <v>7</v>
      </c>
      <c r="T11" s="3" t="s">
        <v>44</v>
      </c>
      <c r="U11" s="2">
        <v>0</v>
      </c>
      <c r="V11" s="2">
        <v>1</v>
      </c>
      <c r="W11" s="2">
        <v>1</v>
      </c>
      <c r="X11" s="2">
        <v>1</v>
      </c>
      <c r="Y11" s="2">
        <v>0</v>
      </c>
      <c r="Z11" s="2">
        <v>1</v>
      </c>
      <c r="AA11" s="2">
        <v>1</v>
      </c>
      <c r="AB11" s="2">
        <v>1</v>
      </c>
      <c r="AC11" s="2">
        <v>1</v>
      </c>
      <c r="AD11" s="2">
        <v>1</v>
      </c>
      <c r="AE11" s="2">
        <v>1</v>
      </c>
      <c r="AF11" s="10">
        <v>1</v>
      </c>
      <c r="AG11" s="2">
        <v>1</v>
      </c>
      <c r="AH11" s="2">
        <v>11</v>
      </c>
      <c r="AI11" s="10">
        <v>84.7</v>
      </c>
    </row>
    <row r="12" spans="1:35" ht="15.5" x14ac:dyDescent="0.35">
      <c r="A12" s="2">
        <v>8</v>
      </c>
      <c r="B12" s="5" t="s">
        <v>18</v>
      </c>
      <c r="C12" s="2">
        <v>0</v>
      </c>
      <c r="D12" s="2">
        <v>0</v>
      </c>
      <c r="E12" s="2">
        <v>0</v>
      </c>
      <c r="F12" s="2">
        <v>1</v>
      </c>
      <c r="G12" s="2">
        <v>1</v>
      </c>
      <c r="H12" s="2">
        <v>1</v>
      </c>
      <c r="I12" s="2">
        <v>0</v>
      </c>
      <c r="J12" s="2">
        <v>1</v>
      </c>
      <c r="K12" s="2">
        <v>0</v>
      </c>
      <c r="L12" s="2">
        <v>1</v>
      </c>
      <c r="M12" s="2">
        <v>1</v>
      </c>
      <c r="N12" s="2">
        <v>0</v>
      </c>
      <c r="O12" s="2">
        <v>1</v>
      </c>
      <c r="P12" s="2">
        <v>7</v>
      </c>
      <c r="Q12" s="10">
        <f t="shared" si="0"/>
        <v>53.9</v>
      </c>
      <c r="S12" s="2">
        <v>8</v>
      </c>
      <c r="T12" s="3" t="s">
        <v>45</v>
      </c>
      <c r="U12" s="2">
        <v>0</v>
      </c>
      <c r="V12" s="2">
        <v>1</v>
      </c>
      <c r="W12" s="2">
        <v>1</v>
      </c>
      <c r="X12" s="2">
        <v>1</v>
      </c>
      <c r="Y12" s="2">
        <v>0</v>
      </c>
      <c r="Z12" s="2">
        <v>1</v>
      </c>
      <c r="AA12" s="2">
        <v>1</v>
      </c>
      <c r="AB12" s="2">
        <v>1</v>
      </c>
      <c r="AC12" s="2">
        <v>1</v>
      </c>
      <c r="AD12" s="2">
        <v>1</v>
      </c>
      <c r="AE12" s="2">
        <v>1</v>
      </c>
      <c r="AF12" s="2">
        <v>1</v>
      </c>
      <c r="AG12" s="2">
        <v>0</v>
      </c>
      <c r="AH12" s="2">
        <v>10</v>
      </c>
      <c r="AI12" s="10">
        <v>77</v>
      </c>
    </row>
    <row r="13" spans="1:35" ht="15.5" x14ac:dyDescent="0.35">
      <c r="A13" s="2">
        <v>9</v>
      </c>
      <c r="B13" s="5" t="s">
        <v>19</v>
      </c>
      <c r="C13" s="2">
        <v>0</v>
      </c>
      <c r="D13" s="2">
        <v>0</v>
      </c>
      <c r="E13" s="2">
        <v>0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10</v>
      </c>
      <c r="Q13" s="10">
        <f t="shared" si="0"/>
        <v>77</v>
      </c>
      <c r="S13" s="2">
        <v>9</v>
      </c>
      <c r="T13" s="3" t="s">
        <v>46</v>
      </c>
      <c r="U13" s="2">
        <v>0</v>
      </c>
      <c r="V13" s="2">
        <v>1</v>
      </c>
      <c r="W13" s="2">
        <v>1</v>
      </c>
      <c r="X13" s="2">
        <v>1</v>
      </c>
      <c r="Y13" s="2">
        <v>0</v>
      </c>
      <c r="Z13" s="2">
        <v>0</v>
      </c>
      <c r="AA13" s="2">
        <v>1</v>
      </c>
      <c r="AB13" s="2">
        <v>1</v>
      </c>
      <c r="AC13" s="2">
        <v>1</v>
      </c>
      <c r="AD13" s="2">
        <v>1</v>
      </c>
      <c r="AE13" s="2">
        <v>1</v>
      </c>
      <c r="AF13" s="2">
        <v>1</v>
      </c>
      <c r="AG13" s="2">
        <v>1</v>
      </c>
      <c r="AH13" s="2">
        <v>10</v>
      </c>
      <c r="AI13" s="10">
        <v>77</v>
      </c>
    </row>
    <row r="14" spans="1:35" ht="15.5" x14ac:dyDescent="0.35">
      <c r="A14" s="2">
        <v>10</v>
      </c>
      <c r="B14" s="5" t="s">
        <v>20</v>
      </c>
      <c r="C14" s="2">
        <v>1</v>
      </c>
      <c r="D14" s="2">
        <v>1</v>
      </c>
      <c r="E14" s="2">
        <v>1</v>
      </c>
      <c r="F14" s="2">
        <v>0</v>
      </c>
      <c r="G14" s="2">
        <v>1</v>
      </c>
      <c r="H14" s="2">
        <v>1</v>
      </c>
      <c r="I14" s="2">
        <v>1</v>
      </c>
      <c r="J14" s="2">
        <v>0</v>
      </c>
      <c r="K14" s="2">
        <v>1</v>
      </c>
      <c r="L14" s="2">
        <v>0</v>
      </c>
      <c r="M14" s="2">
        <v>1</v>
      </c>
      <c r="N14" s="2">
        <v>1</v>
      </c>
      <c r="O14" s="2">
        <v>1</v>
      </c>
      <c r="P14" s="2">
        <v>10</v>
      </c>
      <c r="Q14" s="10">
        <f t="shared" si="0"/>
        <v>77</v>
      </c>
      <c r="S14" s="2">
        <v>10</v>
      </c>
      <c r="T14" s="3" t="s">
        <v>47</v>
      </c>
      <c r="U14" s="2">
        <v>0</v>
      </c>
      <c r="V14" s="2">
        <v>1</v>
      </c>
      <c r="W14" s="2">
        <v>1</v>
      </c>
      <c r="X14" s="2">
        <v>1</v>
      </c>
      <c r="Y14" s="2">
        <v>0</v>
      </c>
      <c r="Z14" s="2">
        <v>0</v>
      </c>
      <c r="AA14" s="2">
        <v>1</v>
      </c>
      <c r="AB14" s="2">
        <v>1</v>
      </c>
      <c r="AC14" s="2">
        <v>1</v>
      </c>
      <c r="AD14" s="2">
        <v>1</v>
      </c>
      <c r="AE14" s="2">
        <v>1</v>
      </c>
      <c r="AF14" s="2">
        <v>0</v>
      </c>
      <c r="AG14" s="2">
        <v>1</v>
      </c>
      <c r="AH14" s="2">
        <v>9</v>
      </c>
      <c r="AI14" s="10">
        <v>69.3</v>
      </c>
    </row>
    <row r="15" spans="1:35" ht="15.5" x14ac:dyDescent="0.35">
      <c r="A15" s="2">
        <v>11</v>
      </c>
      <c r="B15" s="5" t="s">
        <v>21</v>
      </c>
      <c r="C15" s="2">
        <v>1</v>
      </c>
      <c r="D15" s="2">
        <v>1</v>
      </c>
      <c r="E15" s="2">
        <v>0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12</v>
      </c>
      <c r="Q15" s="10">
        <f t="shared" si="0"/>
        <v>92.4</v>
      </c>
      <c r="S15" s="2">
        <v>11</v>
      </c>
      <c r="T15" s="3" t="s">
        <v>48</v>
      </c>
      <c r="U15" s="2">
        <v>0</v>
      </c>
      <c r="V15" s="2">
        <v>1</v>
      </c>
      <c r="W15" s="2">
        <v>0</v>
      </c>
      <c r="X15" s="2">
        <v>1</v>
      </c>
      <c r="Y15" s="2">
        <v>0</v>
      </c>
      <c r="Z15" s="2">
        <v>0</v>
      </c>
      <c r="AA15" s="2">
        <v>1</v>
      </c>
      <c r="AB15" s="2">
        <v>1</v>
      </c>
      <c r="AC15" s="2">
        <v>1</v>
      </c>
      <c r="AD15" s="2">
        <v>1</v>
      </c>
      <c r="AE15" s="2">
        <v>1</v>
      </c>
      <c r="AF15" s="2">
        <v>0</v>
      </c>
      <c r="AG15" s="2">
        <v>1</v>
      </c>
      <c r="AH15" s="2">
        <v>8</v>
      </c>
      <c r="AI15" s="10">
        <v>61.6</v>
      </c>
    </row>
    <row r="16" spans="1:35" ht="15.5" x14ac:dyDescent="0.35">
      <c r="A16" s="2">
        <v>12</v>
      </c>
      <c r="B16" s="5" t="s">
        <v>22</v>
      </c>
      <c r="C16" s="2">
        <v>0</v>
      </c>
      <c r="D16" s="2">
        <v>0</v>
      </c>
      <c r="E16" s="2">
        <v>0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10</v>
      </c>
      <c r="Q16" s="10">
        <f t="shared" si="0"/>
        <v>77</v>
      </c>
      <c r="S16" s="2">
        <v>12</v>
      </c>
      <c r="T16" s="3" t="s">
        <v>49</v>
      </c>
      <c r="U16" s="2">
        <v>0</v>
      </c>
      <c r="V16" s="2">
        <v>1</v>
      </c>
      <c r="W16" s="2">
        <v>0</v>
      </c>
      <c r="X16" s="2">
        <v>1</v>
      </c>
      <c r="Y16" s="2">
        <v>0</v>
      </c>
      <c r="Z16" s="2">
        <v>0</v>
      </c>
      <c r="AA16" s="2">
        <v>1</v>
      </c>
      <c r="AB16" s="2">
        <v>1</v>
      </c>
      <c r="AC16" s="2">
        <v>1</v>
      </c>
      <c r="AD16" s="2">
        <v>1</v>
      </c>
      <c r="AE16" s="2">
        <v>1</v>
      </c>
      <c r="AF16" s="2">
        <v>1</v>
      </c>
      <c r="AG16" s="2">
        <v>0</v>
      </c>
      <c r="AH16" s="2">
        <v>8</v>
      </c>
      <c r="AI16" s="10">
        <v>61.6</v>
      </c>
    </row>
    <row r="17" spans="1:35" ht="15.5" x14ac:dyDescent="0.35">
      <c r="A17" s="2">
        <v>13</v>
      </c>
      <c r="B17" s="5" t="s">
        <v>23</v>
      </c>
      <c r="C17" s="2">
        <v>1</v>
      </c>
      <c r="D17" s="2">
        <v>1</v>
      </c>
      <c r="E17" s="2">
        <v>1</v>
      </c>
      <c r="F17" s="2">
        <v>0</v>
      </c>
      <c r="G17" s="2">
        <v>1</v>
      </c>
      <c r="H17" s="2">
        <v>1</v>
      </c>
      <c r="I17" s="2">
        <v>1</v>
      </c>
      <c r="J17" s="2">
        <v>0</v>
      </c>
      <c r="K17" s="2">
        <v>1</v>
      </c>
      <c r="L17" s="2">
        <v>0</v>
      </c>
      <c r="M17" s="2">
        <v>1</v>
      </c>
      <c r="N17" s="2">
        <v>1</v>
      </c>
      <c r="O17" s="2">
        <v>1</v>
      </c>
      <c r="P17" s="2">
        <v>10</v>
      </c>
      <c r="Q17" s="10">
        <f t="shared" si="0"/>
        <v>77</v>
      </c>
      <c r="S17" s="2">
        <v>13</v>
      </c>
      <c r="T17" s="3" t="s">
        <v>50</v>
      </c>
      <c r="U17" s="2">
        <v>0</v>
      </c>
      <c r="V17" s="2">
        <v>1</v>
      </c>
      <c r="W17" s="2">
        <v>0</v>
      </c>
      <c r="X17" s="2">
        <v>1</v>
      </c>
      <c r="Y17" s="2">
        <v>0</v>
      </c>
      <c r="Z17" s="2">
        <v>0</v>
      </c>
      <c r="AA17" s="2">
        <v>1</v>
      </c>
      <c r="AB17" s="2">
        <v>1</v>
      </c>
      <c r="AC17" s="2">
        <v>1</v>
      </c>
      <c r="AD17" s="2">
        <v>1</v>
      </c>
      <c r="AE17" s="2">
        <v>1</v>
      </c>
      <c r="AF17" s="2">
        <v>1</v>
      </c>
      <c r="AG17" s="2">
        <v>1</v>
      </c>
      <c r="AH17" s="2">
        <v>9</v>
      </c>
      <c r="AI17" s="10">
        <v>69.3</v>
      </c>
    </row>
    <row r="18" spans="1:35" ht="15.5" x14ac:dyDescent="0.35">
      <c r="A18" s="2">
        <v>14</v>
      </c>
      <c r="B18" s="5" t="s">
        <v>24</v>
      </c>
      <c r="C18" s="2">
        <v>0</v>
      </c>
      <c r="D18" s="2">
        <v>0</v>
      </c>
      <c r="E18" s="2">
        <v>1</v>
      </c>
      <c r="F18" s="2">
        <v>1</v>
      </c>
      <c r="G18" s="2">
        <v>0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0</v>
      </c>
      <c r="P18" s="2">
        <v>9</v>
      </c>
      <c r="Q18" s="10">
        <f t="shared" si="0"/>
        <v>69.3</v>
      </c>
      <c r="S18" s="2">
        <v>14</v>
      </c>
      <c r="T18" s="3" t="s">
        <v>51</v>
      </c>
      <c r="U18" s="2">
        <v>0</v>
      </c>
      <c r="V18" s="2">
        <v>1</v>
      </c>
      <c r="W18" s="2">
        <v>1</v>
      </c>
      <c r="X18" s="2">
        <v>1</v>
      </c>
      <c r="Y18" s="2">
        <v>0</v>
      </c>
      <c r="Z18" s="2">
        <v>0</v>
      </c>
      <c r="AA18" s="2">
        <v>1</v>
      </c>
      <c r="AB18" s="2">
        <v>1</v>
      </c>
      <c r="AC18" s="2">
        <v>1</v>
      </c>
      <c r="AD18" s="2">
        <v>1</v>
      </c>
      <c r="AE18" s="2">
        <v>1</v>
      </c>
      <c r="AF18" s="2">
        <v>1</v>
      </c>
      <c r="AG18" s="2">
        <v>1</v>
      </c>
      <c r="AH18" s="2">
        <v>10</v>
      </c>
      <c r="AI18" s="10">
        <v>77</v>
      </c>
    </row>
    <row r="19" spans="1:35" ht="15.5" x14ac:dyDescent="0.35">
      <c r="A19" s="2">
        <v>15</v>
      </c>
      <c r="B19" s="5" t="s">
        <v>25</v>
      </c>
      <c r="C19" s="2">
        <v>1</v>
      </c>
      <c r="D19" s="2">
        <v>1</v>
      </c>
      <c r="E19" s="2">
        <v>1</v>
      </c>
      <c r="F19" s="2">
        <v>0</v>
      </c>
      <c r="G19" s="2">
        <v>1</v>
      </c>
      <c r="H19" s="2">
        <v>1</v>
      </c>
      <c r="I19" s="2">
        <v>1</v>
      </c>
      <c r="J19" s="2">
        <v>0</v>
      </c>
      <c r="K19" s="2">
        <v>1</v>
      </c>
      <c r="L19" s="2">
        <v>0</v>
      </c>
      <c r="M19" s="2">
        <v>1</v>
      </c>
      <c r="N19" s="2">
        <v>1</v>
      </c>
      <c r="O19" s="2">
        <v>1</v>
      </c>
      <c r="P19" s="2">
        <v>10</v>
      </c>
      <c r="Q19" s="10">
        <f t="shared" si="0"/>
        <v>77</v>
      </c>
      <c r="S19" s="2">
        <v>15</v>
      </c>
      <c r="T19" s="3" t="s">
        <v>52</v>
      </c>
      <c r="U19" s="2">
        <v>0</v>
      </c>
      <c r="V19" s="2">
        <v>1</v>
      </c>
      <c r="W19" s="2">
        <v>1</v>
      </c>
      <c r="X19" s="2">
        <v>1</v>
      </c>
      <c r="Y19" s="2">
        <v>0</v>
      </c>
      <c r="Z19" s="2">
        <v>0</v>
      </c>
      <c r="AA19" s="2">
        <v>1</v>
      </c>
      <c r="AB19" s="2">
        <v>1</v>
      </c>
      <c r="AC19" s="2">
        <v>1</v>
      </c>
      <c r="AD19" s="2">
        <v>1</v>
      </c>
      <c r="AE19" s="2">
        <v>1</v>
      </c>
      <c r="AF19" s="2">
        <v>1</v>
      </c>
      <c r="AG19" s="2">
        <v>1</v>
      </c>
      <c r="AH19" s="2">
        <v>10</v>
      </c>
      <c r="AI19" s="10">
        <v>77</v>
      </c>
    </row>
    <row r="20" spans="1:35" ht="15.5" x14ac:dyDescent="0.35">
      <c r="A20" s="2">
        <v>16</v>
      </c>
      <c r="B20" s="5" t="s">
        <v>26</v>
      </c>
      <c r="C20" s="2">
        <v>1</v>
      </c>
      <c r="D20" s="2">
        <v>1</v>
      </c>
      <c r="E20" s="2">
        <v>1</v>
      </c>
      <c r="F20" s="2">
        <v>0</v>
      </c>
      <c r="G20" s="2">
        <v>1</v>
      </c>
      <c r="H20" s="2">
        <v>1</v>
      </c>
      <c r="I20" s="2">
        <v>1</v>
      </c>
      <c r="J20" s="2">
        <v>0</v>
      </c>
      <c r="K20" s="2">
        <v>1</v>
      </c>
      <c r="L20" s="2">
        <v>0</v>
      </c>
      <c r="M20" s="2">
        <v>1</v>
      </c>
      <c r="N20" s="2">
        <v>1</v>
      </c>
      <c r="O20" s="2">
        <v>1</v>
      </c>
      <c r="P20" s="2">
        <v>10</v>
      </c>
      <c r="Q20" s="10">
        <f t="shared" si="0"/>
        <v>77</v>
      </c>
      <c r="S20" s="2">
        <v>16</v>
      </c>
      <c r="T20" s="3" t="s">
        <v>53</v>
      </c>
      <c r="U20" s="2">
        <v>0</v>
      </c>
      <c r="V20" s="2">
        <v>1</v>
      </c>
      <c r="W20" s="2">
        <v>0</v>
      </c>
      <c r="X20" s="2">
        <v>1</v>
      </c>
      <c r="Y20" s="2">
        <v>0</v>
      </c>
      <c r="Z20" s="2">
        <v>0</v>
      </c>
      <c r="AA20" s="2">
        <v>1</v>
      </c>
      <c r="AB20" s="2">
        <v>1</v>
      </c>
      <c r="AC20" s="2">
        <v>1</v>
      </c>
      <c r="AD20" s="2">
        <v>1</v>
      </c>
      <c r="AE20" s="2">
        <v>1</v>
      </c>
      <c r="AF20" s="2">
        <v>1</v>
      </c>
      <c r="AG20" s="2">
        <v>1</v>
      </c>
      <c r="AH20" s="2">
        <v>9</v>
      </c>
      <c r="AI20" s="10">
        <v>69.3</v>
      </c>
    </row>
    <row r="21" spans="1:35" ht="15.5" x14ac:dyDescent="0.35">
      <c r="A21" s="2">
        <v>17</v>
      </c>
      <c r="B21" s="5" t="s">
        <v>27</v>
      </c>
      <c r="C21" s="2">
        <v>1</v>
      </c>
      <c r="D21" s="2">
        <v>1</v>
      </c>
      <c r="E21" s="2">
        <v>1</v>
      </c>
      <c r="F21" s="2">
        <v>0</v>
      </c>
      <c r="G21" s="2">
        <v>1</v>
      </c>
      <c r="H21" s="2">
        <v>1</v>
      </c>
      <c r="I21" s="2">
        <v>1</v>
      </c>
      <c r="J21" s="2">
        <v>0</v>
      </c>
      <c r="K21" s="2">
        <v>1</v>
      </c>
      <c r="L21" s="2">
        <v>0</v>
      </c>
      <c r="M21" s="2">
        <v>1</v>
      </c>
      <c r="N21" s="2">
        <v>1</v>
      </c>
      <c r="O21" s="2">
        <v>1</v>
      </c>
      <c r="P21" s="2">
        <v>10</v>
      </c>
      <c r="Q21" s="10">
        <f t="shared" si="0"/>
        <v>77</v>
      </c>
      <c r="S21" s="2">
        <v>17</v>
      </c>
      <c r="T21" s="3" t="s">
        <v>54</v>
      </c>
      <c r="U21" s="2">
        <v>0</v>
      </c>
      <c r="V21" s="2">
        <v>0</v>
      </c>
      <c r="W21" s="2">
        <v>0</v>
      </c>
      <c r="X21" s="2">
        <v>1</v>
      </c>
      <c r="Y21" s="2">
        <v>0</v>
      </c>
      <c r="Z21" s="2">
        <v>0</v>
      </c>
      <c r="AA21" s="2">
        <v>1</v>
      </c>
      <c r="AB21" s="2">
        <v>1</v>
      </c>
      <c r="AC21" s="2">
        <v>1</v>
      </c>
      <c r="AD21" s="2">
        <v>1</v>
      </c>
      <c r="AE21" s="2">
        <v>1</v>
      </c>
      <c r="AF21" s="2">
        <v>1</v>
      </c>
      <c r="AG21" s="2">
        <v>1</v>
      </c>
      <c r="AH21" s="2">
        <v>8</v>
      </c>
      <c r="AI21" s="10">
        <v>61.6</v>
      </c>
    </row>
    <row r="22" spans="1:35" ht="15.5" x14ac:dyDescent="0.35">
      <c r="A22" s="2">
        <v>18</v>
      </c>
      <c r="B22" s="5" t="s">
        <v>28</v>
      </c>
      <c r="C22" s="2">
        <v>1</v>
      </c>
      <c r="D22" s="2">
        <v>0</v>
      </c>
      <c r="E22" s="2">
        <v>0</v>
      </c>
      <c r="F22" s="2">
        <v>1</v>
      </c>
      <c r="G22" s="2">
        <v>1</v>
      </c>
      <c r="H22" s="2">
        <v>0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9">
        <v>0</v>
      </c>
      <c r="P22" s="2">
        <v>9</v>
      </c>
      <c r="Q22" s="10">
        <f t="shared" si="0"/>
        <v>69.3</v>
      </c>
      <c r="S22" s="2">
        <v>18</v>
      </c>
      <c r="T22" s="3" t="s">
        <v>55</v>
      </c>
      <c r="U22" s="2">
        <v>0</v>
      </c>
      <c r="V22" s="2">
        <v>1</v>
      </c>
      <c r="W22" s="2">
        <v>0</v>
      </c>
      <c r="X22" s="2">
        <v>1</v>
      </c>
      <c r="Y22" s="2">
        <v>0</v>
      </c>
      <c r="Z22" s="2">
        <v>0</v>
      </c>
      <c r="AA22" s="2">
        <v>1</v>
      </c>
      <c r="AB22" s="2">
        <v>1</v>
      </c>
      <c r="AC22" s="2">
        <v>1</v>
      </c>
      <c r="AD22" s="2">
        <v>1</v>
      </c>
      <c r="AE22" s="2">
        <v>1</v>
      </c>
      <c r="AF22" s="2">
        <v>1</v>
      </c>
      <c r="AG22" s="2">
        <v>1</v>
      </c>
      <c r="AH22" s="2">
        <v>9</v>
      </c>
      <c r="AI22" s="10">
        <v>69.3</v>
      </c>
    </row>
    <row r="23" spans="1:35" ht="15.5" x14ac:dyDescent="0.35">
      <c r="A23" s="2">
        <v>19</v>
      </c>
      <c r="B23" s="5" t="s">
        <v>29</v>
      </c>
      <c r="C23" s="7">
        <v>1</v>
      </c>
      <c r="D23" s="7">
        <v>1</v>
      </c>
      <c r="E23" s="7">
        <v>1</v>
      </c>
      <c r="F23" s="7">
        <v>1</v>
      </c>
      <c r="G23" s="7">
        <v>1</v>
      </c>
      <c r="H23" s="7">
        <v>1</v>
      </c>
      <c r="I23" s="7">
        <v>1</v>
      </c>
      <c r="J23" s="7">
        <v>1</v>
      </c>
      <c r="K23" s="7">
        <v>1</v>
      </c>
      <c r="L23" s="7">
        <v>1</v>
      </c>
      <c r="M23" s="7">
        <v>1</v>
      </c>
      <c r="N23" s="7">
        <v>1</v>
      </c>
      <c r="O23" s="7">
        <v>1</v>
      </c>
      <c r="P23" s="2">
        <v>13</v>
      </c>
      <c r="Q23" s="10">
        <f t="shared" si="0"/>
        <v>100.10000000000001</v>
      </c>
      <c r="S23" s="2">
        <v>19</v>
      </c>
      <c r="T23" s="3" t="s">
        <v>56</v>
      </c>
      <c r="U23" s="2">
        <v>0</v>
      </c>
      <c r="V23" s="2">
        <v>1</v>
      </c>
      <c r="W23" s="2">
        <v>0</v>
      </c>
      <c r="X23" s="2">
        <v>1</v>
      </c>
      <c r="Y23" s="2">
        <v>0</v>
      </c>
      <c r="Z23" s="2">
        <v>0</v>
      </c>
      <c r="AA23" s="2">
        <v>1</v>
      </c>
      <c r="AB23" s="2">
        <v>1</v>
      </c>
      <c r="AC23" s="2">
        <v>1</v>
      </c>
      <c r="AD23" s="2">
        <v>1</v>
      </c>
      <c r="AE23" s="2">
        <v>1</v>
      </c>
      <c r="AF23" s="2">
        <v>1</v>
      </c>
      <c r="AG23" s="2">
        <v>1</v>
      </c>
      <c r="AH23" s="2">
        <v>9</v>
      </c>
      <c r="AI23" s="10">
        <v>69.3</v>
      </c>
    </row>
    <row r="24" spans="1:35" ht="15.5" x14ac:dyDescent="0.35">
      <c r="A24" s="2">
        <v>20</v>
      </c>
      <c r="B24" s="5" t="s">
        <v>30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13</v>
      </c>
      <c r="Q24" s="10">
        <f t="shared" si="0"/>
        <v>100.10000000000001</v>
      </c>
      <c r="S24" s="2">
        <v>20</v>
      </c>
      <c r="T24" s="3" t="s">
        <v>57</v>
      </c>
      <c r="U24" s="2">
        <v>0</v>
      </c>
      <c r="V24" s="2">
        <v>1</v>
      </c>
      <c r="W24" s="2">
        <v>0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2">
        <v>1</v>
      </c>
      <c r="AD24" s="2">
        <v>1</v>
      </c>
      <c r="AE24" s="2">
        <v>0</v>
      </c>
      <c r="AF24" s="2">
        <v>1</v>
      </c>
      <c r="AG24" s="2">
        <v>1</v>
      </c>
      <c r="AH24" s="2">
        <v>10</v>
      </c>
      <c r="AI24" s="10">
        <v>77</v>
      </c>
    </row>
    <row r="25" spans="1:35" ht="15.5" x14ac:dyDescent="0.35">
      <c r="A25" s="2">
        <v>21</v>
      </c>
      <c r="B25" s="5" t="s">
        <v>31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13</v>
      </c>
      <c r="Q25" s="10">
        <f t="shared" si="0"/>
        <v>100.10000000000001</v>
      </c>
      <c r="S25" s="2">
        <v>21</v>
      </c>
      <c r="T25" s="3" t="s">
        <v>58</v>
      </c>
      <c r="U25" s="2">
        <v>0</v>
      </c>
      <c r="V25" s="2">
        <v>1</v>
      </c>
      <c r="W25" s="2">
        <v>0</v>
      </c>
      <c r="X25" s="2">
        <v>1</v>
      </c>
      <c r="Y25" s="2">
        <v>0</v>
      </c>
      <c r="Z25" s="2">
        <v>0</v>
      </c>
      <c r="AA25" s="2">
        <v>1</v>
      </c>
      <c r="AB25" s="2">
        <v>1</v>
      </c>
      <c r="AC25" s="2">
        <v>1</v>
      </c>
      <c r="AD25" s="2">
        <v>1</v>
      </c>
      <c r="AE25" s="2">
        <v>1</v>
      </c>
      <c r="AF25" s="2">
        <v>1</v>
      </c>
      <c r="AG25" s="2">
        <v>0</v>
      </c>
      <c r="AH25" s="2">
        <v>8</v>
      </c>
      <c r="AI25" s="10">
        <v>61.6</v>
      </c>
    </row>
    <row r="26" spans="1:35" ht="15.5" x14ac:dyDescent="0.35">
      <c r="A26" s="2">
        <v>22</v>
      </c>
      <c r="B26" s="5" t="s">
        <v>32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13</v>
      </c>
      <c r="Q26" s="10">
        <f t="shared" si="0"/>
        <v>100.10000000000001</v>
      </c>
      <c r="S26" s="2">
        <v>22</v>
      </c>
      <c r="T26" s="3" t="s">
        <v>59</v>
      </c>
      <c r="U26" s="2">
        <v>0</v>
      </c>
      <c r="V26" s="2">
        <v>1</v>
      </c>
      <c r="W26" s="2">
        <v>1</v>
      </c>
      <c r="X26" s="2">
        <v>1</v>
      </c>
      <c r="Y26" s="2">
        <v>0</v>
      </c>
      <c r="Z26" s="2">
        <v>0</v>
      </c>
      <c r="AA26" s="2">
        <v>1</v>
      </c>
      <c r="AB26" s="2">
        <v>1</v>
      </c>
      <c r="AC26" s="2">
        <v>1</v>
      </c>
      <c r="AD26" s="2">
        <v>1</v>
      </c>
      <c r="AE26" s="2">
        <v>1</v>
      </c>
      <c r="AF26" s="2">
        <v>1</v>
      </c>
      <c r="AG26" s="2">
        <v>1</v>
      </c>
      <c r="AH26" s="2">
        <v>10</v>
      </c>
      <c r="AI26" s="10">
        <v>77</v>
      </c>
    </row>
    <row r="27" spans="1:35" ht="15.5" x14ac:dyDescent="0.35">
      <c r="A27" s="2">
        <v>23</v>
      </c>
      <c r="B27" s="5" t="s">
        <v>33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0</v>
      </c>
      <c r="P27" s="2">
        <v>12</v>
      </c>
      <c r="Q27" s="10">
        <f t="shared" si="0"/>
        <v>92.4</v>
      </c>
      <c r="S27" s="2">
        <v>23</v>
      </c>
      <c r="T27" s="3" t="s">
        <v>60</v>
      </c>
      <c r="U27" s="2">
        <v>0</v>
      </c>
      <c r="V27" s="2">
        <v>1</v>
      </c>
      <c r="W27" s="2">
        <v>1</v>
      </c>
      <c r="X27" s="2">
        <v>1</v>
      </c>
      <c r="Y27" s="2">
        <v>0</v>
      </c>
      <c r="Z27" s="2">
        <v>0</v>
      </c>
      <c r="AA27" s="2">
        <v>1</v>
      </c>
      <c r="AB27" s="2">
        <v>1</v>
      </c>
      <c r="AC27" s="2">
        <v>1</v>
      </c>
      <c r="AD27" s="2">
        <v>1</v>
      </c>
      <c r="AE27" s="2">
        <v>1</v>
      </c>
      <c r="AF27" s="2">
        <v>1</v>
      </c>
      <c r="AG27" s="2">
        <v>1</v>
      </c>
      <c r="AH27" s="2">
        <v>10</v>
      </c>
      <c r="AI27" s="10">
        <v>77</v>
      </c>
    </row>
    <row r="28" spans="1:35" ht="15.5" x14ac:dyDescent="0.35">
      <c r="A28" s="2">
        <v>24</v>
      </c>
      <c r="B28" s="5" t="s">
        <v>34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7">
        <v>1</v>
      </c>
      <c r="P28" s="2">
        <v>13</v>
      </c>
      <c r="Q28" s="10">
        <f t="shared" si="0"/>
        <v>100.10000000000001</v>
      </c>
      <c r="S28" s="2">
        <v>24</v>
      </c>
      <c r="T28" s="3" t="s">
        <v>61</v>
      </c>
      <c r="U28" s="2">
        <v>0</v>
      </c>
      <c r="V28" s="2">
        <v>1</v>
      </c>
      <c r="W28" s="2">
        <v>0</v>
      </c>
      <c r="X28" s="2">
        <v>1</v>
      </c>
      <c r="Y28" s="2">
        <v>0</v>
      </c>
      <c r="Z28" s="2">
        <v>0</v>
      </c>
      <c r="AA28" s="2">
        <v>0</v>
      </c>
      <c r="AB28" s="2">
        <v>1</v>
      </c>
      <c r="AC28" s="2">
        <v>0</v>
      </c>
      <c r="AD28" s="2">
        <v>1</v>
      </c>
      <c r="AE28" s="2">
        <v>1</v>
      </c>
      <c r="AF28" s="2">
        <v>0</v>
      </c>
      <c r="AG28" s="2">
        <v>0</v>
      </c>
      <c r="AH28" s="2">
        <v>5</v>
      </c>
      <c r="AI28" s="10">
        <v>38.5</v>
      </c>
    </row>
  </sheetData>
  <mergeCells count="12">
    <mergeCell ref="AH3:AH4"/>
    <mergeCell ref="AI3:AI4"/>
    <mergeCell ref="A1:B1"/>
    <mergeCell ref="S1:X1"/>
    <mergeCell ref="A3:A4"/>
    <mergeCell ref="B3:B4"/>
    <mergeCell ref="C3:O3"/>
    <mergeCell ref="P3:P4"/>
    <mergeCell ref="Q3:Q4"/>
    <mergeCell ref="S3:S4"/>
    <mergeCell ref="T3:T4"/>
    <mergeCell ref="U3:AG3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"/>
  <sheetViews>
    <sheetView workbookViewId="0">
      <selection activeCell="W5" sqref="W5:W28"/>
    </sheetView>
  </sheetViews>
  <sheetFormatPr defaultRowHeight="14.5" x14ac:dyDescent="0.35"/>
  <cols>
    <col min="2" max="2" width="32.453125" customWidth="1"/>
    <col min="12" max="12" width="13.453125" customWidth="1"/>
    <col min="13" max="13" width="5.54296875" customWidth="1"/>
    <col min="14" max="14" width="44.54296875" customWidth="1"/>
  </cols>
  <sheetData>
    <row r="1" spans="1:23" ht="17.5" x14ac:dyDescent="0.35">
      <c r="A1" s="22" t="s">
        <v>35</v>
      </c>
      <c r="B1" s="22"/>
      <c r="M1" s="1" t="s">
        <v>36</v>
      </c>
      <c r="N1" s="1"/>
    </row>
    <row r="3" spans="1:23" ht="15.5" x14ac:dyDescent="0.35">
      <c r="A3" s="23" t="s">
        <v>10</v>
      </c>
      <c r="B3" s="23" t="s">
        <v>0</v>
      </c>
      <c r="C3" s="24" t="s">
        <v>1</v>
      </c>
      <c r="D3" s="24"/>
      <c r="E3" s="24"/>
      <c r="F3" s="24"/>
      <c r="G3" s="24"/>
      <c r="H3" s="24"/>
      <c r="I3" s="24"/>
      <c r="J3" s="24"/>
      <c r="K3" s="23" t="s">
        <v>37</v>
      </c>
      <c r="M3" s="21" t="s">
        <v>10</v>
      </c>
      <c r="N3" s="21" t="s">
        <v>0</v>
      </c>
      <c r="O3" s="21" t="s">
        <v>1</v>
      </c>
      <c r="P3" s="21"/>
      <c r="Q3" s="21"/>
      <c r="R3" s="21"/>
      <c r="S3" s="21"/>
      <c r="T3" s="21"/>
      <c r="U3" s="21"/>
      <c r="V3" s="21"/>
      <c r="W3" s="21" t="s">
        <v>37</v>
      </c>
    </row>
    <row r="4" spans="1:23" ht="15.5" x14ac:dyDescent="0.35">
      <c r="A4" s="23"/>
      <c r="B4" s="23"/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23"/>
      <c r="M4" s="21"/>
      <c r="N4" s="21"/>
      <c r="O4" s="4" t="s">
        <v>2</v>
      </c>
      <c r="P4" s="4" t="s">
        <v>3</v>
      </c>
      <c r="Q4" s="4" t="s">
        <v>4</v>
      </c>
      <c r="R4" s="4" t="s">
        <v>5</v>
      </c>
      <c r="S4" s="4" t="s">
        <v>6</v>
      </c>
      <c r="T4" s="4" t="s">
        <v>7</v>
      </c>
      <c r="U4" s="4" t="s">
        <v>8</v>
      </c>
      <c r="V4" s="4" t="s">
        <v>9</v>
      </c>
      <c r="W4" s="21"/>
    </row>
    <row r="5" spans="1:23" ht="15.5" x14ac:dyDescent="0.35">
      <c r="A5" s="2">
        <v>1</v>
      </c>
      <c r="B5" s="5" t="s">
        <v>11</v>
      </c>
      <c r="C5" s="2">
        <v>4</v>
      </c>
      <c r="D5" s="2">
        <v>5</v>
      </c>
      <c r="E5" s="2">
        <v>5</v>
      </c>
      <c r="F5" s="2">
        <v>2</v>
      </c>
      <c r="G5" s="2">
        <v>3</v>
      </c>
      <c r="H5" s="2">
        <v>4</v>
      </c>
      <c r="I5" s="2">
        <v>4</v>
      </c>
      <c r="J5" s="2">
        <v>4</v>
      </c>
      <c r="K5" s="2">
        <f t="shared" ref="K5:K28" si="0">SUM(B5,C5,D5,E5,F5,G5,H5,I5)</f>
        <v>27</v>
      </c>
      <c r="M5" s="2">
        <v>1</v>
      </c>
      <c r="N5" s="3" t="s">
        <v>38</v>
      </c>
      <c r="O5" s="2">
        <v>4</v>
      </c>
      <c r="P5" s="2">
        <v>4</v>
      </c>
      <c r="Q5" s="2">
        <v>5</v>
      </c>
      <c r="R5" s="2">
        <v>1</v>
      </c>
      <c r="S5" s="2">
        <v>1</v>
      </c>
      <c r="T5" s="2">
        <v>5</v>
      </c>
      <c r="U5" s="2">
        <v>3</v>
      </c>
      <c r="V5" s="2">
        <v>5</v>
      </c>
      <c r="W5" s="2">
        <f t="shared" ref="W5:W28" si="1">SUM(N5,O5,P5,Q5,R5,S5,T5,U5)</f>
        <v>23</v>
      </c>
    </row>
    <row r="6" spans="1:23" ht="15.5" x14ac:dyDescent="0.35">
      <c r="A6" s="2">
        <v>2</v>
      </c>
      <c r="B6" s="5" t="s">
        <v>12</v>
      </c>
      <c r="C6" s="2">
        <v>5</v>
      </c>
      <c r="D6" s="2">
        <v>5</v>
      </c>
      <c r="E6" s="2">
        <v>5</v>
      </c>
      <c r="F6" s="2">
        <v>4</v>
      </c>
      <c r="G6" s="2">
        <v>5</v>
      </c>
      <c r="H6" s="2">
        <v>5</v>
      </c>
      <c r="I6" s="2">
        <v>4</v>
      </c>
      <c r="J6" s="2">
        <v>5</v>
      </c>
      <c r="K6" s="2">
        <f t="shared" si="0"/>
        <v>33</v>
      </c>
      <c r="M6" s="2">
        <v>2</v>
      </c>
      <c r="N6" s="3" t="s">
        <v>39</v>
      </c>
      <c r="O6" s="2">
        <v>5</v>
      </c>
      <c r="P6" s="2">
        <v>5</v>
      </c>
      <c r="Q6" s="2">
        <v>5</v>
      </c>
      <c r="R6" s="2">
        <v>4</v>
      </c>
      <c r="S6" s="2">
        <v>4</v>
      </c>
      <c r="T6" s="2">
        <v>4</v>
      </c>
      <c r="U6" s="2">
        <v>4</v>
      </c>
      <c r="V6" s="2">
        <v>4</v>
      </c>
      <c r="W6" s="2">
        <f t="shared" si="1"/>
        <v>31</v>
      </c>
    </row>
    <row r="7" spans="1:23" ht="15.5" x14ac:dyDescent="0.35">
      <c r="A7" s="2">
        <v>3</v>
      </c>
      <c r="B7" s="5" t="s">
        <v>13</v>
      </c>
      <c r="C7" s="2">
        <v>4</v>
      </c>
      <c r="D7" s="2">
        <v>5</v>
      </c>
      <c r="E7" s="2">
        <v>5</v>
      </c>
      <c r="F7" s="2">
        <v>2</v>
      </c>
      <c r="G7" s="2">
        <v>3</v>
      </c>
      <c r="H7" s="2">
        <v>4</v>
      </c>
      <c r="I7" s="2">
        <v>4</v>
      </c>
      <c r="J7" s="2">
        <v>4</v>
      </c>
      <c r="K7" s="2">
        <f t="shared" si="0"/>
        <v>27</v>
      </c>
      <c r="M7" s="2">
        <v>3</v>
      </c>
      <c r="N7" s="3" t="s">
        <v>40</v>
      </c>
      <c r="O7" s="2">
        <v>3</v>
      </c>
      <c r="P7" s="2">
        <v>3</v>
      </c>
      <c r="Q7" s="2">
        <v>3</v>
      </c>
      <c r="R7" s="2">
        <v>3</v>
      </c>
      <c r="S7" s="2">
        <v>3</v>
      </c>
      <c r="T7" s="2">
        <v>4</v>
      </c>
      <c r="U7" s="2">
        <v>3</v>
      </c>
      <c r="V7" s="2">
        <v>4</v>
      </c>
      <c r="W7" s="2">
        <f t="shared" si="1"/>
        <v>22</v>
      </c>
    </row>
    <row r="8" spans="1:23" ht="15.5" x14ac:dyDescent="0.35">
      <c r="A8" s="2">
        <v>4</v>
      </c>
      <c r="B8" s="5" t="s">
        <v>14</v>
      </c>
      <c r="C8" s="2">
        <v>5</v>
      </c>
      <c r="D8" s="2">
        <v>5</v>
      </c>
      <c r="E8" s="2">
        <v>5</v>
      </c>
      <c r="F8" s="2">
        <v>4</v>
      </c>
      <c r="G8" s="2">
        <v>5</v>
      </c>
      <c r="H8" s="2">
        <v>5</v>
      </c>
      <c r="I8" s="2">
        <v>4</v>
      </c>
      <c r="J8" s="2">
        <v>5</v>
      </c>
      <c r="K8" s="2">
        <f t="shared" si="0"/>
        <v>33</v>
      </c>
      <c r="M8" s="2">
        <v>4</v>
      </c>
      <c r="N8" s="3" t="s">
        <v>41</v>
      </c>
      <c r="O8" s="2">
        <v>5</v>
      </c>
      <c r="P8" s="2">
        <v>4</v>
      </c>
      <c r="Q8" s="2">
        <v>5</v>
      </c>
      <c r="R8" s="2">
        <v>4</v>
      </c>
      <c r="S8" s="2">
        <v>3</v>
      </c>
      <c r="T8" s="2">
        <v>5</v>
      </c>
      <c r="U8" s="2">
        <v>5</v>
      </c>
      <c r="V8" s="2">
        <v>5</v>
      </c>
      <c r="W8" s="2">
        <f t="shared" si="1"/>
        <v>31</v>
      </c>
    </row>
    <row r="9" spans="1:23" ht="15.5" x14ac:dyDescent="0.35">
      <c r="A9" s="2">
        <v>5</v>
      </c>
      <c r="B9" s="5" t="s">
        <v>15</v>
      </c>
      <c r="C9" s="2">
        <v>4</v>
      </c>
      <c r="D9" s="2">
        <v>3</v>
      </c>
      <c r="E9" s="2">
        <v>4</v>
      </c>
      <c r="F9" s="2">
        <v>4</v>
      </c>
      <c r="G9" s="2">
        <v>3</v>
      </c>
      <c r="H9" s="2">
        <v>3</v>
      </c>
      <c r="I9" s="2">
        <v>3</v>
      </c>
      <c r="J9" s="2">
        <v>2</v>
      </c>
      <c r="K9" s="2">
        <f t="shared" si="0"/>
        <v>24</v>
      </c>
      <c r="M9" s="2">
        <v>5</v>
      </c>
      <c r="N9" s="3" t="s">
        <v>42</v>
      </c>
      <c r="O9" s="2">
        <v>5</v>
      </c>
      <c r="P9" s="2">
        <v>5</v>
      </c>
      <c r="Q9" s="2">
        <v>5</v>
      </c>
      <c r="R9" s="2">
        <v>5</v>
      </c>
      <c r="S9" s="2">
        <v>5</v>
      </c>
      <c r="T9" s="2">
        <v>5</v>
      </c>
      <c r="U9" s="2">
        <v>3</v>
      </c>
      <c r="V9" s="2">
        <v>5</v>
      </c>
      <c r="W9" s="2">
        <f t="shared" si="1"/>
        <v>33</v>
      </c>
    </row>
    <row r="10" spans="1:23" ht="15.5" x14ac:dyDescent="0.35">
      <c r="A10" s="2">
        <v>6</v>
      </c>
      <c r="B10" s="5" t="s">
        <v>16</v>
      </c>
      <c r="C10" s="2">
        <v>4</v>
      </c>
      <c r="D10" s="2">
        <v>3</v>
      </c>
      <c r="E10" s="2">
        <v>4</v>
      </c>
      <c r="F10" s="2">
        <v>4</v>
      </c>
      <c r="G10" s="2">
        <v>3</v>
      </c>
      <c r="H10" s="2">
        <v>3</v>
      </c>
      <c r="I10" s="2">
        <v>3</v>
      </c>
      <c r="J10" s="2">
        <v>2</v>
      </c>
      <c r="K10" s="2">
        <f t="shared" si="0"/>
        <v>24</v>
      </c>
      <c r="M10" s="2">
        <v>6</v>
      </c>
      <c r="N10" s="3" t="s">
        <v>43</v>
      </c>
      <c r="O10" s="2">
        <v>3</v>
      </c>
      <c r="P10" s="2">
        <v>4</v>
      </c>
      <c r="Q10" s="2">
        <v>5</v>
      </c>
      <c r="R10" s="2">
        <v>1</v>
      </c>
      <c r="S10" s="2">
        <v>3</v>
      </c>
      <c r="T10" s="2">
        <v>4</v>
      </c>
      <c r="U10" s="2">
        <v>3</v>
      </c>
      <c r="V10" s="2">
        <v>4</v>
      </c>
      <c r="W10" s="2">
        <f t="shared" si="1"/>
        <v>23</v>
      </c>
    </row>
    <row r="11" spans="1:23" ht="15.5" x14ac:dyDescent="0.35">
      <c r="A11" s="2">
        <v>7</v>
      </c>
      <c r="B11" s="5" t="s">
        <v>17</v>
      </c>
      <c r="C11" s="2">
        <v>2</v>
      </c>
      <c r="D11" s="2">
        <v>4</v>
      </c>
      <c r="E11" s="2">
        <v>4</v>
      </c>
      <c r="F11" s="2">
        <v>1</v>
      </c>
      <c r="G11" s="2">
        <v>4</v>
      </c>
      <c r="H11" s="2">
        <v>5</v>
      </c>
      <c r="I11" s="2">
        <v>3</v>
      </c>
      <c r="J11" s="2">
        <v>5</v>
      </c>
      <c r="K11" s="2">
        <f t="shared" si="0"/>
        <v>23</v>
      </c>
      <c r="M11" s="2">
        <v>7</v>
      </c>
      <c r="N11" s="3" t="s">
        <v>44</v>
      </c>
      <c r="O11" s="2">
        <v>3</v>
      </c>
      <c r="P11" s="2">
        <v>1</v>
      </c>
      <c r="Q11" s="2">
        <v>3</v>
      </c>
      <c r="R11" s="2">
        <v>4</v>
      </c>
      <c r="S11" s="2">
        <v>1</v>
      </c>
      <c r="T11" s="2">
        <v>4</v>
      </c>
      <c r="U11" s="2">
        <v>2</v>
      </c>
      <c r="V11" s="2">
        <v>3</v>
      </c>
      <c r="W11" s="2">
        <f t="shared" si="1"/>
        <v>18</v>
      </c>
    </row>
    <row r="12" spans="1:23" ht="15.5" x14ac:dyDescent="0.35">
      <c r="A12" s="2">
        <v>8</v>
      </c>
      <c r="B12" s="5" t="s">
        <v>18</v>
      </c>
      <c r="C12" s="2">
        <v>2</v>
      </c>
      <c r="D12" s="2">
        <v>3</v>
      </c>
      <c r="E12" s="2">
        <v>5</v>
      </c>
      <c r="F12" s="2">
        <v>5</v>
      </c>
      <c r="G12" s="2">
        <v>1</v>
      </c>
      <c r="H12" s="2">
        <v>3</v>
      </c>
      <c r="I12" s="2">
        <v>3</v>
      </c>
      <c r="J12" s="2">
        <v>4</v>
      </c>
      <c r="K12" s="2">
        <f t="shared" si="0"/>
        <v>22</v>
      </c>
      <c r="M12" s="2">
        <v>8</v>
      </c>
      <c r="N12" s="3" t="s">
        <v>45</v>
      </c>
      <c r="O12" s="2">
        <v>3</v>
      </c>
      <c r="P12" s="2">
        <v>2</v>
      </c>
      <c r="Q12" s="2">
        <v>2</v>
      </c>
      <c r="R12" s="2">
        <v>1</v>
      </c>
      <c r="S12" s="2">
        <v>1</v>
      </c>
      <c r="T12" s="2">
        <v>3</v>
      </c>
      <c r="U12" s="2">
        <v>2</v>
      </c>
      <c r="V12" s="2">
        <v>3</v>
      </c>
      <c r="W12" s="2">
        <f t="shared" si="1"/>
        <v>14</v>
      </c>
    </row>
    <row r="13" spans="1:23" ht="15.5" x14ac:dyDescent="0.35">
      <c r="A13" s="2">
        <v>9</v>
      </c>
      <c r="B13" s="5" t="s">
        <v>19</v>
      </c>
      <c r="C13" s="2">
        <v>5</v>
      </c>
      <c r="D13" s="2">
        <v>4</v>
      </c>
      <c r="E13" s="2">
        <v>5</v>
      </c>
      <c r="F13" s="2">
        <v>4</v>
      </c>
      <c r="G13" s="2">
        <v>5</v>
      </c>
      <c r="H13" s="2">
        <v>4</v>
      </c>
      <c r="I13" s="2">
        <v>4</v>
      </c>
      <c r="J13" s="2">
        <v>5</v>
      </c>
      <c r="K13" s="2">
        <f t="shared" si="0"/>
        <v>31</v>
      </c>
      <c r="M13" s="2">
        <v>9</v>
      </c>
      <c r="N13" s="3" t="s">
        <v>46</v>
      </c>
      <c r="O13" s="2">
        <v>3</v>
      </c>
      <c r="P13" s="2">
        <v>3</v>
      </c>
      <c r="Q13" s="2">
        <v>3</v>
      </c>
      <c r="R13" s="2">
        <v>3</v>
      </c>
      <c r="S13" s="2">
        <v>2</v>
      </c>
      <c r="T13" s="2">
        <v>4</v>
      </c>
      <c r="U13" s="2">
        <v>4</v>
      </c>
      <c r="V13" s="2">
        <v>5</v>
      </c>
      <c r="W13" s="2">
        <f t="shared" si="1"/>
        <v>22</v>
      </c>
    </row>
    <row r="14" spans="1:23" ht="15.5" x14ac:dyDescent="0.35">
      <c r="A14" s="2">
        <v>10</v>
      </c>
      <c r="B14" s="5" t="s">
        <v>20</v>
      </c>
      <c r="C14" s="2">
        <v>4</v>
      </c>
      <c r="D14" s="2">
        <v>5</v>
      </c>
      <c r="E14" s="2">
        <v>5</v>
      </c>
      <c r="F14" s="2">
        <v>2</v>
      </c>
      <c r="G14" s="2">
        <v>3</v>
      </c>
      <c r="H14" s="2">
        <v>4</v>
      </c>
      <c r="I14" s="2">
        <v>4</v>
      </c>
      <c r="J14" s="2">
        <v>4</v>
      </c>
      <c r="K14" s="2">
        <f t="shared" si="0"/>
        <v>27</v>
      </c>
      <c r="M14" s="2">
        <v>10</v>
      </c>
      <c r="N14" s="3" t="s">
        <v>47</v>
      </c>
      <c r="O14" s="2">
        <v>5</v>
      </c>
      <c r="P14" s="2">
        <v>4</v>
      </c>
      <c r="Q14" s="2">
        <v>4</v>
      </c>
      <c r="R14" s="2">
        <v>3</v>
      </c>
      <c r="S14" s="2">
        <v>5</v>
      </c>
      <c r="T14" s="2">
        <v>3</v>
      </c>
      <c r="U14" s="2">
        <v>5</v>
      </c>
      <c r="V14" s="2">
        <v>4</v>
      </c>
      <c r="W14" s="2">
        <f t="shared" si="1"/>
        <v>29</v>
      </c>
    </row>
    <row r="15" spans="1:23" ht="15.5" x14ac:dyDescent="0.35">
      <c r="A15" s="2">
        <v>11</v>
      </c>
      <c r="B15" s="5" t="s">
        <v>21</v>
      </c>
      <c r="C15" s="2">
        <v>4</v>
      </c>
      <c r="D15" s="2">
        <v>5</v>
      </c>
      <c r="E15" s="2">
        <v>5</v>
      </c>
      <c r="F15" s="2">
        <v>2</v>
      </c>
      <c r="G15" s="2">
        <v>3</v>
      </c>
      <c r="H15" s="2">
        <v>4</v>
      </c>
      <c r="I15" s="2">
        <v>4</v>
      </c>
      <c r="J15" s="2">
        <v>4</v>
      </c>
      <c r="K15" s="2">
        <f t="shared" si="0"/>
        <v>27</v>
      </c>
      <c r="M15" s="2">
        <v>11</v>
      </c>
      <c r="N15" s="3" t="s">
        <v>48</v>
      </c>
      <c r="O15" s="2">
        <v>5</v>
      </c>
      <c r="P15" s="2">
        <v>4</v>
      </c>
      <c r="Q15" s="2">
        <v>5</v>
      </c>
      <c r="R15" s="2">
        <v>2</v>
      </c>
      <c r="S15" s="2">
        <v>4</v>
      </c>
      <c r="T15" s="2">
        <v>5</v>
      </c>
      <c r="U15" s="2">
        <v>4</v>
      </c>
      <c r="V15" s="2">
        <v>5</v>
      </c>
      <c r="W15" s="2">
        <f t="shared" si="1"/>
        <v>29</v>
      </c>
    </row>
    <row r="16" spans="1:23" ht="15.5" x14ac:dyDescent="0.35">
      <c r="A16" s="2">
        <v>12</v>
      </c>
      <c r="B16" s="5" t="s">
        <v>22</v>
      </c>
      <c r="C16" s="2">
        <v>4</v>
      </c>
      <c r="D16" s="2">
        <v>4</v>
      </c>
      <c r="E16" s="2">
        <v>5</v>
      </c>
      <c r="F16" s="2">
        <v>5</v>
      </c>
      <c r="G16" s="2">
        <v>5</v>
      </c>
      <c r="H16" s="2">
        <v>4</v>
      </c>
      <c r="I16" s="2">
        <v>3</v>
      </c>
      <c r="J16" s="2">
        <v>4</v>
      </c>
      <c r="K16" s="2">
        <f t="shared" si="0"/>
        <v>30</v>
      </c>
      <c r="M16" s="2">
        <v>12</v>
      </c>
      <c r="N16" s="3" t="s">
        <v>49</v>
      </c>
      <c r="O16" s="2">
        <v>4</v>
      </c>
      <c r="P16" s="2">
        <v>4</v>
      </c>
      <c r="Q16" s="2">
        <v>5</v>
      </c>
      <c r="R16" s="2">
        <v>3</v>
      </c>
      <c r="S16" s="2">
        <v>3</v>
      </c>
      <c r="T16" s="2">
        <v>4</v>
      </c>
      <c r="U16" s="2">
        <v>4</v>
      </c>
      <c r="V16" s="2">
        <v>3</v>
      </c>
      <c r="W16" s="2">
        <f t="shared" si="1"/>
        <v>27</v>
      </c>
    </row>
    <row r="17" spans="1:23" ht="15.5" x14ac:dyDescent="0.35">
      <c r="A17" s="2">
        <v>13</v>
      </c>
      <c r="B17" s="5" t="s">
        <v>23</v>
      </c>
      <c r="C17" s="2">
        <v>4</v>
      </c>
      <c r="D17" s="2">
        <v>4</v>
      </c>
      <c r="E17" s="2">
        <v>3</v>
      </c>
      <c r="F17" s="2">
        <v>2</v>
      </c>
      <c r="G17" s="2">
        <v>3</v>
      </c>
      <c r="H17" s="2">
        <v>3</v>
      </c>
      <c r="I17" s="2">
        <v>4</v>
      </c>
      <c r="J17" s="2">
        <v>4</v>
      </c>
      <c r="K17" s="2">
        <f t="shared" si="0"/>
        <v>23</v>
      </c>
      <c r="M17" s="2">
        <v>13</v>
      </c>
      <c r="N17" s="3" t="s">
        <v>50</v>
      </c>
      <c r="O17" s="2">
        <v>4</v>
      </c>
      <c r="P17" s="2">
        <v>4</v>
      </c>
      <c r="Q17" s="2">
        <v>5</v>
      </c>
      <c r="R17" s="2">
        <v>3</v>
      </c>
      <c r="S17" s="2">
        <v>4</v>
      </c>
      <c r="T17" s="2">
        <v>5</v>
      </c>
      <c r="U17" s="2">
        <v>5</v>
      </c>
      <c r="V17" s="2">
        <v>5</v>
      </c>
      <c r="W17" s="2">
        <f t="shared" si="1"/>
        <v>30</v>
      </c>
    </row>
    <row r="18" spans="1:23" ht="15.5" x14ac:dyDescent="0.35">
      <c r="A18" s="2">
        <v>14</v>
      </c>
      <c r="B18" s="5" t="s">
        <v>24</v>
      </c>
      <c r="C18" s="2">
        <v>4</v>
      </c>
      <c r="D18" s="2">
        <v>4</v>
      </c>
      <c r="E18" s="2">
        <v>3</v>
      </c>
      <c r="F18" s="2">
        <v>2</v>
      </c>
      <c r="G18" s="2">
        <v>3</v>
      </c>
      <c r="H18" s="2">
        <v>3</v>
      </c>
      <c r="I18" s="2">
        <v>4</v>
      </c>
      <c r="J18" s="2">
        <v>4</v>
      </c>
      <c r="K18" s="2">
        <f t="shared" si="0"/>
        <v>23</v>
      </c>
      <c r="M18" s="2">
        <v>14</v>
      </c>
      <c r="N18" s="3" t="s">
        <v>51</v>
      </c>
      <c r="O18" s="2">
        <v>4</v>
      </c>
      <c r="P18" s="2">
        <v>4</v>
      </c>
      <c r="Q18" s="2">
        <v>5</v>
      </c>
      <c r="R18" s="2">
        <v>4</v>
      </c>
      <c r="S18" s="2">
        <v>4</v>
      </c>
      <c r="T18" s="2">
        <v>4</v>
      </c>
      <c r="U18" s="2">
        <v>4</v>
      </c>
      <c r="V18" s="2">
        <v>3</v>
      </c>
      <c r="W18" s="2">
        <f t="shared" si="1"/>
        <v>29</v>
      </c>
    </row>
    <row r="19" spans="1:23" ht="15.5" x14ac:dyDescent="0.35">
      <c r="A19" s="2">
        <v>15</v>
      </c>
      <c r="B19" s="5" t="s">
        <v>25</v>
      </c>
      <c r="C19" s="2">
        <v>4</v>
      </c>
      <c r="D19" s="2">
        <v>4</v>
      </c>
      <c r="E19" s="2">
        <v>3</v>
      </c>
      <c r="F19" s="2">
        <v>2</v>
      </c>
      <c r="G19" s="2">
        <v>3</v>
      </c>
      <c r="H19" s="2">
        <v>3</v>
      </c>
      <c r="I19" s="2">
        <v>4</v>
      </c>
      <c r="J19" s="2">
        <v>4</v>
      </c>
      <c r="K19" s="2">
        <f t="shared" si="0"/>
        <v>23</v>
      </c>
      <c r="M19" s="2">
        <v>15</v>
      </c>
      <c r="N19" s="3" t="s">
        <v>52</v>
      </c>
      <c r="O19" s="2">
        <v>5</v>
      </c>
      <c r="P19" s="2">
        <v>2</v>
      </c>
      <c r="Q19" s="2">
        <v>4</v>
      </c>
      <c r="R19" s="2">
        <v>1</v>
      </c>
      <c r="S19" s="2">
        <v>3</v>
      </c>
      <c r="T19" s="2">
        <v>4</v>
      </c>
      <c r="U19" s="2">
        <v>5</v>
      </c>
      <c r="V19" s="2">
        <v>4</v>
      </c>
      <c r="W19" s="2">
        <f t="shared" si="1"/>
        <v>24</v>
      </c>
    </row>
    <row r="20" spans="1:23" ht="15.5" x14ac:dyDescent="0.35">
      <c r="A20" s="2">
        <v>16</v>
      </c>
      <c r="B20" s="5" t="s">
        <v>26</v>
      </c>
      <c r="C20" s="2">
        <v>4</v>
      </c>
      <c r="D20" s="2">
        <v>4</v>
      </c>
      <c r="E20" s="2">
        <v>3</v>
      </c>
      <c r="F20" s="2">
        <v>2</v>
      </c>
      <c r="G20" s="2">
        <v>3</v>
      </c>
      <c r="H20" s="2">
        <v>3</v>
      </c>
      <c r="I20" s="2">
        <v>4</v>
      </c>
      <c r="J20" s="2">
        <v>4</v>
      </c>
      <c r="K20" s="2">
        <f t="shared" si="0"/>
        <v>23</v>
      </c>
      <c r="M20" s="2">
        <v>16</v>
      </c>
      <c r="N20" s="3" t="s">
        <v>53</v>
      </c>
      <c r="O20" s="2">
        <v>5</v>
      </c>
      <c r="P20" s="2">
        <v>4</v>
      </c>
      <c r="Q20" s="2">
        <v>4</v>
      </c>
      <c r="R20" s="2">
        <v>4</v>
      </c>
      <c r="S20" s="2">
        <v>4</v>
      </c>
      <c r="T20" s="2">
        <v>4</v>
      </c>
      <c r="U20" s="2">
        <v>5</v>
      </c>
      <c r="V20" s="2">
        <v>5</v>
      </c>
      <c r="W20" s="2">
        <f t="shared" si="1"/>
        <v>30</v>
      </c>
    </row>
    <row r="21" spans="1:23" ht="15.5" x14ac:dyDescent="0.35">
      <c r="A21" s="2">
        <v>17</v>
      </c>
      <c r="B21" s="5" t="s">
        <v>27</v>
      </c>
      <c r="C21" s="2">
        <v>4</v>
      </c>
      <c r="D21" s="2">
        <v>3</v>
      </c>
      <c r="E21" s="2">
        <v>4</v>
      </c>
      <c r="F21" s="2">
        <v>4</v>
      </c>
      <c r="G21" s="2">
        <v>3</v>
      </c>
      <c r="H21" s="2">
        <v>4</v>
      </c>
      <c r="I21" s="2">
        <v>5</v>
      </c>
      <c r="J21" s="2">
        <v>5</v>
      </c>
      <c r="K21" s="2">
        <f t="shared" si="0"/>
        <v>27</v>
      </c>
      <c r="M21" s="2">
        <v>17</v>
      </c>
      <c r="N21" s="3" t="s">
        <v>54</v>
      </c>
      <c r="O21" s="2">
        <v>5</v>
      </c>
      <c r="P21" s="2">
        <v>5</v>
      </c>
      <c r="Q21" s="2">
        <v>5</v>
      </c>
      <c r="R21" s="2">
        <v>3</v>
      </c>
      <c r="S21" s="2">
        <v>3</v>
      </c>
      <c r="T21" s="2">
        <v>5</v>
      </c>
      <c r="U21" s="2">
        <v>5</v>
      </c>
      <c r="V21" s="2">
        <v>5</v>
      </c>
      <c r="W21" s="2">
        <f t="shared" si="1"/>
        <v>31</v>
      </c>
    </row>
    <row r="22" spans="1:23" ht="15.5" x14ac:dyDescent="0.35">
      <c r="A22" s="2">
        <v>18</v>
      </c>
      <c r="B22" s="5" t="s">
        <v>28</v>
      </c>
      <c r="C22" s="2">
        <v>4</v>
      </c>
      <c r="D22" s="2">
        <v>3</v>
      </c>
      <c r="E22" s="2">
        <v>4</v>
      </c>
      <c r="F22" s="2">
        <v>4</v>
      </c>
      <c r="G22" s="2">
        <v>3</v>
      </c>
      <c r="H22" s="2">
        <v>4</v>
      </c>
      <c r="I22" s="2">
        <v>5</v>
      </c>
      <c r="J22" s="2">
        <v>5</v>
      </c>
      <c r="K22" s="2">
        <f t="shared" si="0"/>
        <v>27</v>
      </c>
      <c r="M22" s="2">
        <v>18</v>
      </c>
      <c r="N22" s="3" t="s">
        <v>55</v>
      </c>
      <c r="O22" s="2">
        <v>4</v>
      </c>
      <c r="P22" s="2">
        <v>2</v>
      </c>
      <c r="Q22" s="2">
        <v>4</v>
      </c>
      <c r="R22" s="2">
        <v>2</v>
      </c>
      <c r="S22" s="2">
        <v>2</v>
      </c>
      <c r="T22" s="2">
        <v>4</v>
      </c>
      <c r="U22" s="2">
        <v>4</v>
      </c>
      <c r="V22" s="2">
        <v>4</v>
      </c>
      <c r="W22" s="2">
        <f t="shared" si="1"/>
        <v>22</v>
      </c>
    </row>
    <row r="23" spans="1:23" ht="15.5" x14ac:dyDescent="0.35">
      <c r="A23" s="2">
        <v>19</v>
      </c>
      <c r="B23" s="5" t="s">
        <v>29</v>
      </c>
      <c r="C23" s="2">
        <v>5</v>
      </c>
      <c r="D23" s="2">
        <v>4</v>
      </c>
      <c r="E23" s="2">
        <v>4</v>
      </c>
      <c r="F23" s="2">
        <v>5</v>
      </c>
      <c r="G23" s="2">
        <v>1</v>
      </c>
      <c r="H23" s="2">
        <v>3</v>
      </c>
      <c r="I23" s="2">
        <v>4</v>
      </c>
      <c r="J23" s="2">
        <v>4</v>
      </c>
      <c r="K23" s="2">
        <f t="shared" si="0"/>
        <v>26</v>
      </c>
      <c r="M23" s="2">
        <v>19</v>
      </c>
      <c r="N23" s="3" t="s">
        <v>56</v>
      </c>
      <c r="O23" s="2">
        <v>5</v>
      </c>
      <c r="P23" s="2">
        <v>5</v>
      </c>
      <c r="Q23" s="2">
        <v>5</v>
      </c>
      <c r="R23" s="2">
        <v>3</v>
      </c>
      <c r="S23" s="2">
        <v>4</v>
      </c>
      <c r="T23" s="2">
        <v>5</v>
      </c>
      <c r="U23" s="2">
        <v>5</v>
      </c>
      <c r="V23" s="2">
        <v>5</v>
      </c>
      <c r="W23" s="2">
        <f t="shared" si="1"/>
        <v>32</v>
      </c>
    </row>
    <row r="24" spans="1:23" ht="15.5" x14ac:dyDescent="0.35">
      <c r="A24" s="2">
        <v>20</v>
      </c>
      <c r="B24" s="5" t="s">
        <v>30</v>
      </c>
      <c r="C24" s="2">
        <v>3</v>
      </c>
      <c r="D24" s="2">
        <v>3</v>
      </c>
      <c r="E24" s="2">
        <v>3</v>
      </c>
      <c r="F24" s="2">
        <v>4</v>
      </c>
      <c r="G24" s="2">
        <v>2</v>
      </c>
      <c r="H24" s="2">
        <v>3</v>
      </c>
      <c r="I24" s="2">
        <v>3</v>
      </c>
      <c r="J24" s="2">
        <v>3</v>
      </c>
      <c r="K24" s="2">
        <f t="shared" si="0"/>
        <v>21</v>
      </c>
      <c r="M24" s="2">
        <v>20</v>
      </c>
      <c r="N24" s="3" t="s">
        <v>57</v>
      </c>
      <c r="O24" s="2">
        <v>5</v>
      </c>
      <c r="P24" s="2">
        <v>5</v>
      </c>
      <c r="Q24" s="2">
        <v>5</v>
      </c>
      <c r="R24" s="2">
        <v>3</v>
      </c>
      <c r="S24" s="2">
        <v>4</v>
      </c>
      <c r="T24" s="2">
        <v>5</v>
      </c>
      <c r="U24" s="2">
        <v>5</v>
      </c>
      <c r="V24" s="2">
        <v>5</v>
      </c>
      <c r="W24" s="2">
        <f t="shared" si="1"/>
        <v>32</v>
      </c>
    </row>
    <row r="25" spans="1:23" ht="15.5" x14ac:dyDescent="0.35">
      <c r="A25" s="2">
        <v>21</v>
      </c>
      <c r="B25" s="5" t="s">
        <v>31</v>
      </c>
      <c r="C25" s="2">
        <v>4</v>
      </c>
      <c r="D25" s="2">
        <v>3</v>
      </c>
      <c r="E25" s="2">
        <v>3</v>
      </c>
      <c r="F25" s="2">
        <v>5</v>
      </c>
      <c r="G25" s="2">
        <v>4</v>
      </c>
      <c r="H25" s="2">
        <v>2</v>
      </c>
      <c r="I25" s="2">
        <v>5</v>
      </c>
      <c r="J25" s="2">
        <v>5</v>
      </c>
      <c r="K25" s="2">
        <f t="shared" si="0"/>
        <v>26</v>
      </c>
      <c r="M25" s="2">
        <v>21</v>
      </c>
      <c r="N25" s="3" t="s">
        <v>58</v>
      </c>
      <c r="O25" s="2">
        <v>5</v>
      </c>
      <c r="P25" s="2">
        <v>5</v>
      </c>
      <c r="Q25" s="2">
        <v>5</v>
      </c>
      <c r="R25" s="2">
        <v>3</v>
      </c>
      <c r="S25" s="2">
        <v>4</v>
      </c>
      <c r="T25" s="2">
        <v>5</v>
      </c>
      <c r="U25" s="2">
        <v>5</v>
      </c>
      <c r="V25" s="2">
        <v>5</v>
      </c>
      <c r="W25" s="2">
        <f t="shared" si="1"/>
        <v>32</v>
      </c>
    </row>
    <row r="26" spans="1:23" ht="15.5" x14ac:dyDescent="0.35">
      <c r="A26" s="2">
        <v>22</v>
      </c>
      <c r="B26" s="5" t="s">
        <v>32</v>
      </c>
      <c r="C26" s="2">
        <v>4</v>
      </c>
      <c r="D26" s="2">
        <v>4</v>
      </c>
      <c r="E26" s="2">
        <v>3</v>
      </c>
      <c r="F26" s="2">
        <v>5</v>
      </c>
      <c r="G26" s="2">
        <v>2</v>
      </c>
      <c r="H26" s="2">
        <v>3</v>
      </c>
      <c r="I26" s="2">
        <v>3</v>
      </c>
      <c r="J26" s="2">
        <v>3</v>
      </c>
      <c r="K26" s="2">
        <f t="shared" si="0"/>
        <v>24</v>
      </c>
      <c r="M26" s="2">
        <v>22</v>
      </c>
      <c r="N26" s="3" t="s">
        <v>59</v>
      </c>
      <c r="O26" s="2">
        <v>4</v>
      </c>
      <c r="P26" s="2">
        <v>3</v>
      </c>
      <c r="Q26" s="2">
        <v>4</v>
      </c>
      <c r="R26" s="2">
        <v>4</v>
      </c>
      <c r="S26" s="2">
        <v>3</v>
      </c>
      <c r="T26" s="2">
        <v>4</v>
      </c>
      <c r="U26" s="2">
        <v>3</v>
      </c>
      <c r="V26" s="2">
        <v>4</v>
      </c>
      <c r="W26" s="2">
        <f t="shared" si="1"/>
        <v>25</v>
      </c>
    </row>
    <row r="27" spans="1:23" ht="15.5" x14ac:dyDescent="0.35">
      <c r="A27" s="2">
        <v>23</v>
      </c>
      <c r="B27" s="5" t="s">
        <v>33</v>
      </c>
      <c r="C27" s="2">
        <v>5</v>
      </c>
      <c r="D27" s="2">
        <v>4</v>
      </c>
      <c r="E27" s="2">
        <v>3</v>
      </c>
      <c r="F27" s="2">
        <v>5</v>
      </c>
      <c r="G27" s="2">
        <v>2</v>
      </c>
      <c r="H27" s="2">
        <v>3</v>
      </c>
      <c r="I27" s="2">
        <v>4</v>
      </c>
      <c r="J27" s="2">
        <v>5</v>
      </c>
      <c r="K27" s="2">
        <f t="shared" si="0"/>
        <v>26</v>
      </c>
      <c r="M27" s="2">
        <v>23</v>
      </c>
      <c r="N27" s="3" t="s">
        <v>60</v>
      </c>
      <c r="O27" s="2">
        <v>4</v>
      </c>
      <c r="P27" s="2">
        <v>3</v>
      </c>
      <c r="Q27" s="2">
        <v>4</v>
      </c>
      <c r="R27" s="2">
        <v>4</v>
      </c>
      <c r="S27" s="2">
        <v>3</v>
      </c>
      <c r="T27" s="2">
        <v>4</v>
      </c>
      <c r="U27" s="2">
        <v>3</v>
      </c>
      <c r="V27" s="2">
        <v>4</v>
      </c>
      <c r="W27" s="2">
        <f t="shared" si="1"/>
        <v>25</v>
      </c>
    </row>
    <row r="28" spans="1:23" ht="15.5" x14ac:dyDescent="0.35">
      <c r="A28" s="2">
        <v>24</v>
      </c>
      <c r="B28" s="5" t="s">
        <v>34</v>
      </c>
      <c r="C28" s="2">
        <v>5</v>
      </c>
      <c r="D28" s="2">
        <v>5</v>
      </c>
      <c r="E28" s="2">
        <v>4</v>
      </c>
      <c r="F28" s="2">
        <v>5</v>
      </c>
      <c r="G28" s="2">
        <v>3</v>
      </c>
      <c r="H28" s="2">
        <v>4</v>
      </c>
      <c r="I28" s="2">
        <v>4</v>
      </c>
      <c r="J28" s="2">
        <v>4</v>
      </c>
      <c r="K28" s="2">
        <f t="shared" si="0"/>
        <v>30</v>
      </c>
      <c r="M28" s="2">
        <v>24</v>
      </c>
      <c r="N28" s="3" t="s">
        <v>61</v>
      </c>
      <c r="O28" s="2">
        <v>4</v>
      </c>
      <c r="P28" s="2">
        <v>4</v>
      </c>
      <c r="Q28" s="2">
        <v>5</v>
      </c>
      <c r="R28" s="2">
        <v>3</v>
      </c>
      <c r="S28" s="2">
        <v>4</v>
      </c>
      <c r="T28" s="2">
        <v>5</v>
      </c>
      <c r="U28" s="2">
        <v>5</v>
      </c>
      <c r="V28" s="2">
        <v>5</v>
      </c>
      <c r="W28" s="2">
        <f t="shared" si="1"/>
        <v>30</v>
      </c>
    </row>
  </sheetData>
  <mergeCells count="9">
    <mergeCell ref="N3:N4"/>
    <mergeCell ref="O3:V3"/>
    <mergeCell ref="W3:W4"/>
    <mergeCell ref="A1:B1"/>
    <mergeCell ref="A3:A4"/>
    <mergeCell ref="B3:B4"/>
    <mergeCell ref="C3:J3"/>
    <mergeCell ref="K3:K4"/>
    <mergeCell ref="M3:M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HASIL PRE-TEST</vt:lpstr>
      <vt:lpstr>HASIL POST-TEST</vt:lpstr>
      <vt:lpstr>MOTIVASI BELAJAR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Juli Yandi Rahman</cp:lastModifiedBy>
  <dcterms:created xsi:type="dcterms:W3CDTF">2024-07-30T08:48:46Z</dcterms:created>
  <dcterms:modified xsi:type="dcterms:W3CDTF">2024-08-03T12:21:26Z</dcterms:modified>
</cp:coreProperties>
</file>